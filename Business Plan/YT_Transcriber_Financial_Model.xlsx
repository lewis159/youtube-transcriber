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Explorer Tier" sheetId="3" state="visible" r:id="rId3"/>
    <sheet xmlns:r="http://schemas.openxmlformats.org/officeDocument/2006/relationships" name="Creator Tier" sheetId="4" state="visible" r:id="rId4"/>
    <sheet xmlns:r="http://schemas.openxmlformats.org/officeDocument/2006/relationships" name="Studio Tier" sheetId="5" state="visible" r:id="rId5"/>
    <sheet xmlns:r="http://schemas.openxmlformats.org/officeDocument/2006/relationships" name="Enterprise Tier" sheetId="6" state="visible" r:id="rId6"/>
    <sheet xmlns:r="http://schemas.openxmlformats.org/officeDocument/2006/relationships" name="Blended Mix" sheetId="7" state="visible" r:id="rId7"/>
  </sheets>
  <definedNames/>
  <calcPr calcId="124519" fullCalcOnLoad="1"/>
</workbook>
</file>

<file path=xl/styles.xml><?xml version="1.0" encoding="utf-8"?>
<styleSheet xmlns="http://schemas.openxmlformats.org/spreadsheetml/2006/main">
  <numFmts count="3">
    <numFmt numFmtId="164" formatCode="&quot;£&quot;#,##0.00"/>
    <numFmt numFmtId="165" formatCode="0.0%"/>
    <numFmt numFmtId="166" formatCode="&quot;£&quot;#,##0"/>
  </numFmts>
  <fonts count="11">
    <font>
      <name val="Calibri"/>
      <family val="2"/>
      <color theme="1"/>
      <sz val="11"/>
      <scheme val="minor"/>
    </font>
    <font>
      <name val="Calibri"/>
      <b val="1"/>
      <color rgb="00FFFFFF"/>
      <sz val="14"/>
    </font>
    <font>
      <name val="Calibri"/>
      <color rgb="00FFFFFF"/>
      <sz val="9"/>
    </font>
    <font>
      <name val="Calibri"/>
      <b val="1"/>
      <color rgb="00FFFFFF"/>
      <sz val="9"/>
    </font>
    <font>
      <name val="Calibri"/>
      <color rgb="001A1A1A"/>
      <sz val="9"/>
    </font>
    <font>
      <name val="Calibri"/>
      <b val="1"/>
      <color rgb="001A1A1A"/>
      <sz val="9"/>
    </font>
    <font>
      <name val="Calibri"/>
      <i val="1"/>
      <color rgb="00888888"/>
      <sz val="8"/>
    </font>
    <font>
      <name val="Calibri"/>
      <color rgb="00888888"/>
      <sz val="9"/>
    </font>
    <font>
      <name val="Calibri"/>
      <b val="1"/>
      <color rgb="00888888"/>
      <sz val="9"/>
    </font>
    <font>
      <name val="Calibri"/>
      <b val="1"/>
      <color rgb="00FFFFFF"/>
      <sz val="13"/>
    </font>
    <font>
      <name val="Calibri"/>
      <b val="1"/>
      <color rgb="00FFFFFF"/>
      <sz val="16"/>
    </font>
  </fonts>
  <fills count="11">
    <fill>
      <patternFill/>
    </fill>
    <fill>
      <patternFill patternType="gray125"/>
    </fill>
    <fill>
      <patternFill patternType="solid">
        <fgColor rgb="001A1A1A"/>
      </patternFill>
    </fill>
    <fill>
      <patternFill patternType="solid">
        <fgColor rgb="00E53935"/>
      </patternFill>
    </fill>
    <fill>
      <patternFill patternType="solid">
        <fgColor rgb="002A2A2A"/>
      </patternFill>
    </fill>
    <fill>
      <patternFill patternType="solid">
        <fgColor rgb="00FFFDE7"/>
      </patternFill>
    </fill>
    <fill>
      <patternFill patternType="solid">
        <fgColor rgb="00EEEEFF"/>
      </patternFill>
    </fill>
    <fill>
      <patternFill patternType="solid">
        <fgColor rgb="00FFF3E0"/>
      </patternFill>
    </fill>
    <fill>
      <patternFill patternType="solid">
        <fgColor rgb="00F5F5F5"/>
      </patternFill>
    </fill>
    <fill>
      <patternFill patternType="solid">
        <fgColor rgb="00FFFFFF"/>
      </patternFill>
    </fill>
    <fill>
      <patternFill patternType="solid">
        <fgColor rgb="003A3A3A"/>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1">
    <xf numFmtId="0" fontId="0" fillId="0" borderId="0" pivotButton="0" quotePrefix="0" xfId="0"/>
    <xf numFmtId="0" fontId="10"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3" fillId="10" borderId="1" applyAlignment="1" pivotButton="0" quotePrefix="0" xfId="0">
      <alignment horizontal="center" vertical="center" wrapText="1"/>
    </xf>
    <xf numFmtId="3" fontId="4" fillId="8" borderId="1" applyAlignment="1" pivotButton="0" quotePrefix="0" xfId="0">
      <alignment horizontal="center" vertical="center"/>
    </xf>
    <xf numFmtId="164" fontId="4" fillId="8" borderId="1" applyAlignment="1" pivotButton="0" quotePrefix="0" xfId="0">
      <alignment horizontal="right" vertical="center"/>
    </xf>
    <xf numFmtId="164" fontId="0" fillId="0" borderId="1" applyAlignment="1" pivotButton="0" quotePrefix="0" xfId="0">
      <alignment horizontal="right" vertical="center"/>
    </xf>
    <xf numFmtId="165" fontId="4" fillId="8" borderId="1" applyAlignment="1" pivotButton="0" quotePrefix="0" xfId="0">
      <alignment horizontal="right" vertical="center"/>
    </xf>
    <xf numFmtId="166" fontId="0" fillId="0" borderId="1" applyAlignment="1" pivotButton="0" quotePrefix="0" xfId="0">
      <alignment horizontal="right" vertical="center"/>
    </xf>
    <xf numFmtId="0" fontId="0" fillId="0" borderId="1" applyAlignment="1" pivotButton="0" quotePrefix="0" xfId="0">
      <alignment horizontal="center" vertical="center"/>
    </xf>
    <xf numFmtId="3" fontId="4" fillId="9" borderId="1" applyAlignment="1" pivotButton="0" quotePrefix="0" xfId="0">
      <alignment horizontal="center" vertical="center"/>
    </xf>
    <xf numFmtId="164" fontId="4" fillId="9" borderId="1" applyAlignment="1" pivotButton="0" quotePrefix="0" xfId="0">
      <alignment horizontal="right" vertical="center"/>
    </xf>
    <xf numFmtId="165" fontId="4" fillId="9" borderId="1" applyAlignment="1" pivotButton="0" quotePrefix="0" xfId="0">
      <alignment horizontal="right" vertical="center"/>
    </xf>
    <xf numFmtId="0" fontId="6" fillId="0" borderId="0" applyAlignment="1" pivotButton="0" quotePrefix="0" xfId="0">
      <alignment horizontal="left" vertical="center" wrapText="1"/>
    </xf>
    <xf numFmtId="0" fontId="1" fillId="2" borderId="0" applyAlignment="1" pivotButton="0" quotePrefix="0" xfId="0">
      <alignment horizontal="left" vertical="center"/>
    </xf>
    <xf numFmtId="0" fontId="3" fillId="4" borderId="1"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left" vertical="center"/>
    </xf>
    <xf numFmtId="164" fontId="5" fillId="5" borderId="1" applyAlignment="1" pivotButton="0" quotePrefix="0" xfId="0">
      <alignment horizontal="right" vertical="center"/>
    </xf>
    <xf numFmtId="0" fontId="6" fillId="5" borderId="1" applyAlignment="1" pivotButton="0" quotePrefix="0" xfId="0">
      <alignment horizontal="left" vertical="center" wrapText="1"/>
    </xf>
    <xf numFmtId="165" fontId="5" fillId="5" borderId="1" applyAlignment="1" pivotButton="0" quotePrefix="0" xfId="0">
      <alignment horizontal="right" vertical="center"/>
    </xf>
    <xf numFmtId="0" fontId="5" fillId="6" borderId="1" applyAlignment="1" pivotButton="0" quotePrefix="0" xfId="0">
      <alignment horizontal="left" vertical="center"/>
    </xf>
    <xf numFmtId="164" fontId="5" fillId="6" borderId="1" applyAlignment="1" pivotButton="0" quotePrefix="0" xfId="0">
      <alignment horizontal="right" vertical="center"/>
    </xf>
    <xf numFmtId="0" fontId="6" fillId="6" borderId="1" applyAlignment="1" pivotButton="0" quotePrefix="0" xfId="0">
      <alignment horizontal="left" vertical="center" wrapText="1"/>
    </xf>
    <xf numFmtId="10" fontId="5" fillId="5" borderId="1" applyAlignment="1" pivotButton="0" quotePrefix="0" xfId="0">
      <alignment horizontal="right" vertical="center"/>
    </xf>
    <xf numFmtId="0" fontId="7" fillId="7" borderId="1" applyAlignment="1" pivotButton="0" quotePrefix="0" xfId="0">
      <alignment horizontal="left" vertical="center"/>
    </xf>
    <xf numFmtId="0" fontId="8" fillId="7" borderId="1" applyAlignment="1" pivotButton="0" quotePrefix="0" xfId="0">
      <alignment horizontal="right" vertical="center"/>
    </xf>
    <xf numFmtId="0" fontId="6" fillId="7" borderId="1" applyAlignment="1" pivotButton="0" quotePrefix="0" xfId="0">
      <alignment horizontal="left" vertical="center" wrapText="1"/>
    </xf>
    <xf numFmtId="0" fontId="9" fillId="2" borderId="0" applyAlignment="1" pivotButton="0" quotePrefix="0" xfId="0">
      <alignment horizontal="left" vertical="center"/>
    </xf>
    <xf numFmtId="0" fontId="3" fillId="4" borderId="1" applyAlignment="1" pivotButton="0" quotePrefix="0" xfId="0">
      <alignment horizontal="center" vertical="center" wrapText="1"/>
    </xf>
  </cellXfs>
  <cellStyles count="1">
    <cellStyle name="Normal" xfId="0" builtinId="0" hidden="0"/>
  </cellStyles>
  <dxfs count="3">
    <dxf>
      <font>
        <name val="Calibri"/>
        <b val="1"/>
        <color rgb="00C62828"/>
        <sz val="9"/>
      </font>
      <fill>
        <patternFill patternType="solid">
          <fgColor rgb="00FFEBEE"/>
          <bgColor rgb="00FFEBEE"/>
        </patternFill>
      </fill>
    </dxf>
    <dxf>
      <font>
        <name val="Calibri"/>
        <b val="1"/>
        <color rgb="002E7D32"/>
        <sz val="9"/>
      </font>
      <fill>
        <patternFill patternType="solid">
          <fgColor rgb="00E8F5E9"/>
          <bgColor rgb="00E8F5E9"/>
        </patternFill>
      </fill>
    </dxf>
    <dxf>
      <font>
        <name val="Calibri"/>
        <b val="1"/>
        <color rgb="00E65100"/>
        <sz val="9"/>
      </font>
      <fill>
        <patternFill patternType="solid">
          <fgColor rgb="00FFF8E1"/>
          <bgColor rgb="00FFF8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Blended: Revenue vs Total Costs vs Net Profit</a:t>
            </a:r>
          </a:p>
        </rich>
      </tx>
    </title>
    <plotArea>
      <barChart>
        <barDir val="col"/>
        <grouping val="clustered"/>
        <ser>
          <idx val="0"/>
          <order val="0"/>
          <tx>
            <strRef>
              <f>'Blended Mix'!B3</f>
            </strRef>
          </tx>
          <spPr>
            <a:solidFill xmlns:a="http://schemas.openxmlformats.org/drawingml/2006/main">
              <a:srgbClr val="3B82F6"/>
            </a:solidFill>
            <a:ln xmlns:a="http://schemas.openxmlformats.org/drawingml/2006/main">
              <a:prstDash val="solid"/>
            </a:ln>
          </spPr>
          <cat>
            <numRef>
              <f>'Blended Mix'!$A$4:$A$15</f>
            </numRef>
          </cat>
          <val>
            <numRef>
              <f>'Blended Mix'!$B$4:$B$15</f>
            </numRef>
          </val>
        </ser>
        <ser>
          <idx val="1"/>
          <order val="1"/>
          <tx>
            <strRef>
              <f>'Blended Mix'!G3</f>
            </strRef>
          </tx>
          <spPr>
            <a:solidFill xmlns:a="http://schemas.openxmlformats.org/drawingml/2006/main">
              <a:srgbClr val="E53935"/>
            </a:solidFill>
            <a:ln xmlns:a="http://schemas.openxmlformats.org/drawingml/2006/main">
              <a:prstDash val="solid"/>
            </a:ln>
          </spPr>
          <cat>
            <numRef>
              <f>'Blended Mix'!$A$4:$A$15</f>
            </numRef>
          </cat>
          <val>
            <numRef>
              <f>'Blended Mix'!$G$4:$G$15</f>
            </numRef>
          </val>
        </ser>
        <ser>
          <idx val="2"/>
          <order val="2"/>
          <tx>
            <strRef>
              <f>'Blended Mix'!H3</f>
            </strRef>
          </tx>
          <spPr>
            <a:solidFill xmlns:a="http://schemas.openxmlformats.org/drawingml/2006/main">
              <a:srgbClr val="4CAF50"/>
            </a:solidFill>
            <a:ln xmlns:a="http://schemas.openxmlformats.org/drawingml/2006/main">
              <a:prstDash val="solid"/>
            </a:ln>
          </spPr>
          <cat>
            <numRef>
              <f>'Blended Mix'!$A$4:$A$15</f>
            </numRef>
          </cat>
          <val>
            <numRef>
              <f>'Blended Mix'!$H$4:$H$15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Paying Users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18</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A1A1A"/>
    <outlinePr summaryBelow="1" summaryRight="1"/>
    <pageSetUpPr/>
  </sheetPr>
  <dimension ref="A1:G7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6" customWidth="1" min="3" max="3"/>
    <col width="14" customWidth="1" min="4" max="4"/>
    <col width="10" customWidth="1" min="5" max="5"/>
    <col width="16" customWidth="1" min="6" max="6"/>
    <col width="13" customWidth="1" min="7" max="7"/>
  </cols>
  <sheetData>
    <row r="1" ht="36" customHeight="1">
      <c r="A1" s="1" t="inlineStr">
        <is>
          <t>YT Transcriber — Financial Model</t>
        </is>
      </c>
    </row>
    <row r="2" ht="16" customHeight="1">
      <c r="A2" s="2" t="inlineStr">
        <is>
          <t>Edit Assumptions sheet (yellow cells) to update all figures automatically     |     13 June 2026</t>
        </is>
      </c>
    </row>
    <row r="4" ht="20" customHeight="1">
      <c r="A4" s="3" t="inlineStr">
        <is>
          <t>EXPLORER TIER  —  Free trial (3 videos)  |  Revenue: £0  |  Shows cost of running free/trial users</t>
        </is>
      </c>
    </row>
    <row r="5" ht="22" customHeight="1">
      <c r="A5" s="4" t="inlineStr">
        <is>
          <t>Users</t>
        </is>
      </c>
      <c r="B5" s="4" t="inlineStr">
        <is>
          <t>Monthly Revenue</t>
        </is>
      </c>
      <c r="C5" s="4" t="inlineStr">
        <is>
          <t>Total Costs</t>
        </is>
      </c>
      <c r="D5" s="4" t="inlineStr">
        <is>
          <t>Net Profit</t>
        </is>
      </c>
      <c r="E5" s="4" t="inlineStr">
        <is>
          <t>Margin</t>
        </is>
      </c>
      <c r="F5" s="4" t="inlineStr">
        <is>
          <t>Annual Profit</t>
        </is>
      </c>
      <c r="G5" s="4" t="inlineStr">
        <is>
          <t>Status</t>
        </is>
      </c>
    </row>
    <row r="6">
      <c r="A6" s="5" t="n">
        <v>1</v>
      </c>
      <c r="B6" s="6">
        <f>0</f>
        <v/>
      </c>
      <c r="C6" s="6">
        <f>Assumptions!$B$20+A6*Assumptions!$B$23+A6*Assumptions!$B$24</f>
        <v/>
      </c>
      <c r="D6" s="7">
        <f>B6-C6</f>
        <v/>
      </c>
      <c r="E6" s="8">
        <f>IF(B6&gt;0,D6/B6,0)</f>
        <v/>
      </c>
      <c r="F6" s="9">
        <f>D6*12</f>
        <v/>
      </c>
      <c r="G6" s="10">
        <f>IF(D6&lt;0,"Loss",IF(D6&lt;20,"Break-even",IF(D6&lt;500,"Growing","Profitable")))</f>
        <v/>
      </c>
    </row>
    <row r="7">
      <c r="A7" s="11" t="n">
        <v>5</v>
      </c>
      <c r="B7" s="12">
        <f>0</f>
        <v/>
      </c>
      <c r="C7" s="12">
        <f>Assumptions!$B$20+A7*Assumptions!$B$23+A7*Assumptions!$B$24</f>
        <v/>
      </c>
      <c r="D7" s="7">
        <f>B7-C7</f>
        <v/>
      </c>
      <c r="E7" s="13">
        <f>IF(B7&gt;0,D7/B7,0)</f>
        <v/>
      </c>
      <c r="F7" s="9">
        <f>D7*12</f>
        <v/>
      </c>
      <c r="G7" s="10">
        <f>IF(D7&lt;0,"Loss",IF(D7&lt;20,"Break-even",IF(D7&lt;500,"Growing","Profitable")))</f>
        <v/>
      </c>
    </row>
    <row r="8">
      <c r="A8" s="5" t="n">
        <v>10</v>
      </c>
      <c r="B8" s="6">
        <f>0</f>
        <v/>
      </c>
      <c r="C8" s="6">
        <f>Assumptions!$B$20+A8*Assumptions!$B$23+A8*Assumptions!$B$24</f>
        <v/>
      </c>
      <c r="D8" s="7">
        <f>B8-C8</f>
        <v/>
      </c>
      <c r="E8" s="8">
        <f>IF(B8&gt;0,D8/B8,0)</f>
        <v/>
      </c>
      <c r="F8" s="9">
        <f>D8*12</f>
        <v/>
      </c>
      <c r="G8" s="10">
        <f>IF(D8&lt;0,"Loss",IF(D8&lt;20,"Break-even",IF(D8&lt;500,"Growing","Profitable")))</f>
        <v/>
      </c>
    </row>
    <row r="9">
      <c r="A9" s="11" t="n">
        <v>15</v>
      </c>
      <c r="B9" s="12">
        <f>0</f>
        <v/>
      </c>
      <c r="C9" s="12">
        <f>Assumptions!$B$20+A9*Assumptions!$B$23+A9*Assumptions!$B$24</f>
        <v/>
      </c>
      <c r="D9" s="7">
        <f>B9-C9</f>
        <v/>
      </c>
      <c r="E9" s="13">
        <f>IF(B9&gt;0,D9/B9,0)</f>
        <v/>
      </c>
      <c r="F9" s="9">
        <f>D9*12</f>
        <v/>
      </c>
      <c r="G9" s="10">
        <f>IF(D9&lt;0,"Loss",IF(D9&lt;20,"Break-even",IF(D9&lt;500,"Growing","Profitable")))</f>
        <v/>
      </c>
    </row>
    <row r="10">
      <c r="A10" s="5" t="n">
        <v>20</v>
      </c>
      <c r="B10" s="6">
        <f>0</f>
        <v/>
      </c>
      <c r="C10" s="6">
        <f>Assumptions!$B$20+A10*Assumptions!$B$23+A10*Assumptions!$B$24</f>
        <v/>
      </c>
      <c r="D10" s="7">
        <f>B10-C10</f>
        <v/>
      </c>
      <c r="E10" s="8">
        <f>IF(B10&gt;0,D10/B10,0)</f>
        <v/>
      </c>
      <c r="F10" s="9">
        <f>D10*12</f>
        <v/>
      </c>
      <c r="G10" s="10">
        <f>IF(D10&lt;0,"Loss",IF(D10&lt;20,"Break-even",IF(D10&lt;500,"Growing","Profitable")))</f>
        <v/>
      </c>
    </row>
    <row r="11">
      <c r="A11" s="11" t="n">
        <v>50</v>
      </c>
      <c r="B11" s="12">
        <f>0</f>
        <v/>
      </c>
      <c r="C11" s="12">
        <f>Assumptions!$B$20+A11*Assumptions!$B$23+A11*Assumptions!$B$24</f>
        <v/>
      </c>
      <c r="D11" s="7">
        <f>B11-C11</f>
        <v/>
      </c>
      <c r="E11" s="13">
        <f>IF(B11&gt;0,D11/B11,0)</f>
        <v/>
      </c>
      <c r="F11" s="9">
        <f>D11*12</f>
        <v/>
      </c>
      <c r="G11" s="10">
        <f>IF(D11&lt;0,"Loss",IF(D11&lt;20,"Break-even",IF(D11&lt;500,"Growing","Profitable")))</f>
        <v/>
      </c>
    </row>
    <row r="12">
      <c r="A12" s="5" t="n">
        <v>100</v>
      </c>
      <c r="B12" s="6">
        <f>0</f>
        <v/>
      </c>
      <c r="C12" s="6">
        <f>Assumptions!$B$20+A12*Assumptions!$B$23+A12*Assumptions!$B$24</f>
        <v/>
      </c>
      <c r="D12" s="7">
        <f>B12-C12</f>
        <v/>
      </c>
      <c r="E12" s="8">
        <f>IF(B12&gt;0,D12/B12,0)</f>
        <v/>
      </c>
      <c r="F12" s="9">
        <f>D12*12</f>
        <v/>
      </c>
      <c r="G12" s="10">
        <f>IF(D12&lt;0,"Loss",IF(D12&lt;20,"Break-even",IF(D12&lt;500,"Growing","Profitable")))</f>
        <v/>
      </c>
    </row>
    <row r="13">
      <c r="A13" s="11" t="n">
        <v>200</v>
      </c>
      <c r="B13" s="12">
        <f>0</f>
        <v/>
      </c>
      <c r="C13" s="12">
        <f>Assumptions!$B$20+A13*Assumptions!$B$23+A13*Assumptions!$B$24</f>
        <v/>
      </c>
      <c r="D13" s="7">
        <f>B13-C13</f>
        <v/>
      </c>
      <c r="E13" s="13">
        <f>IF(B13&gt;0,D13/B13,0)</f>
        <v/>
      </c>
      <c r="F13" s="9">
        <f>D13*12</f>
        <v/>
      </c>
      <c r="G13" s="10">
        <f>IF(D13&lt;0,"Loss",IF(D13&lt;20,"Break-even",IF(D13&lt;500,"Growing","Profitable")))</f>
        <v/>
      </c>
    </row>
    <row r="14">
      <c r="A14" s="5" t="n">
        <v>500</v>
      </c>
      <c r="B14" s="6">
        <f>0</f>
        <v/>
      </c>
      <c r="C14" s="6">
        <f>Assumptions!$B$20+A14*Assumptions!$B$23+A14*Assumptions!$B$24</f>
        <v/>
      </c>
      <c r="D14" s="7">
        <f>B14-C14</f>
        <v/>
      </c>
      <c r="E14" s="8">
        <f>IF(B14&gt;0,D14/B14,0)</f>
        <v/>
      </c>
      <c r="F14" s="9">
        <f>D14*12</f>
        <v/>
      </c>
      <c r="G14" s="10">
        <f>IF(D14&lt;0,"Loss",IF(D14&lt;20,"Break-even",IF(D14&lt;500,"Growing","Profitable")))</f>
        <v/>
      </c>
    </row>
    <row r="15">
      <c r="A15" s="11" t="n">
        <v>1000</v>
      </c>
      <c r="B15" s="12">
        <f>0</f>
        <v/>
      </c>
      <c r="C15" s="12">
        <f>Assumptions!$B$20+A15*Assumptions!$B$23+A15*Assumptions!$B$24</f>
        <v/>
      </c>
      <c r="D15" s="7">
        <f>B15-C15</f>
        <v/>
      </c>
      <c r="E15" s="13">
        <f>IF(B15&gt;0,D15/B15,0)</f>
        <v/>
      </c>
      <c r="F15" s="9">
        <f>D15*12</f>
        <v/>
      </c>
      <c r="G15" s="10">
        <f>IF(D15&lt;0,"Loss",IF(D15&lt;20,"Break-even",IF(D15&lt;500,"Growing","Profitable")))</f>
        <v/>
      </c>
    </row>
    <row r="16">
      <c r="A16" s="5" t="n">
        <v>2000</v>
      </c>
      <c r="B16" s="6">
        <f>0</f>
        <v/>
      </c>
      <c r="C16" s="6">
        <f>Assumptions!$B$20+A16*Assumptions!$B$23+A16*Assumptions!$B$24</f>
        <v/>
      </c>
      <c r="D16" s="7">
        <f>B16-C16</f>
        <v/>
      </c>
      <c r="E16" s="8">
        <f>IF(B16&gt;0,D16/B16,0)</f>
        <v/>
      </c>
      <c r="F16" s="9">
        <f>D16*12</f>
        <v/>
      </c>
      <c r="G16" s="10">
        <f>IF(D16&lt;0,"Loss",IF(D16&lt;20,"Break-even",IF(D16&lt;500,"Growing","Profitable")))</f>
        <v/>
      </c>
    </row>
    <row r="17">
      <c r="A17" s="11" t="n">
        <v>5000</v>
      </c>
      <c r="B17" s="12">
        <f>0</f>
        <v/>
      </c>
      <c r="C17" s="12">
        <f>Assumptions!$B$20+A17*Assumptions!$B$23+A17*Assumptions!$B$24</f>
        <v/>
      </c>
      <c r="D17" s="7">
        <f>B17-C17</f>
        <v/>
      </c>
      <c r="E17" s="13">
        <f>IF(B17&gt;0,D17/B17,0)</f>
        <v/>
      </c>
      <c r="F17" s="9">
        <f>D17*12</f>
        <v/>
      </c>
      <c r="G17" s="10">
        <f>IF(D17&lt;0,"Loss",IF(D17&lt;20,"Break-even",IF(D17&lt;500,"Growing","Profitable")))</f>
        <v/>
      </c>
    </row>
    <row r="19" ht="20" customHeight="1">
      <c r="A19" s="3" t="inlineStr">
        <is>
          <t>BLENDED MIX  —  Paying users: 20% Creator / 55% Studio / 25% Enterprise  (adjust in Assumptions)</t>
        </is>
      </c>
    </row>
    <row r="20" ht="22" customHeight="1">
      <c r="A20" s="4" t="inlineStr">
        <is>
          <t>Users</t>
        </is>
      </c>
      <c r="B20" s="4" t="inlineStr">
        <is>
          <t>Monthly Revenue</t>
        </is>
      </c>
      <c r="C20" s="4" t="inlineStr">
        <is>
          <t>Total Costs</t>
        </is>
      </c>
      <c r="D20" s="4" t="inlineStr">
        <is>
          <t>Net Profit</t>
        </is>
      </c>
      <c r="E20" s="4" t="inlineStr">
        <is>
          <t>Margin</t>
        </is>
      </c>
      <c r="F20" s="4" t="inlineStr">
        <is>
          <t>Annual Profit</t>
        </is>
      </c>
      <c r="G20" s="4" t="inlineStr">
        <is>
          <t>Status</t>
        </is>
      </c>
    </row>
    <row r="21">
      <c r="A21" s="11" t="n">
        <v>1</v>
      </c>
      <c r="B21" s="12">
        <f>A21*Assumptions!$B$14</f>
        <v/>
      </c>
      <c r="C21" s="12">
        <f>Assumptions!$B$20+B21*Assumptions!$B$33+A21*Assumptions!$B$34+A21*Assumptions!$B$40+A21*Assumptions!$B$41</f>
        <v/>
      </c>
      <c r="D21" s="7">
        <f>B21-C21</f>
        <v/>
      </c>
      <c r="E21" s="13">
        <f>IF(B21&gt;0,D21/B21,0)</f>
        <v/>
      </c>
      <c r="F21" s="9">
        <f>D21*12</f>
        <v/>
      </c>
      <c r="G21" s="10">
        <f>IF(D21&lt;0,"Loss",IF(D21&lt;20,"Break-even",IF(D21&lt;500,"Growing","Profitable")))</f>
        <v/>
      </c>
    </row>
    <row r="22">
      <c r="A22" s="5" t="n">
        <v>5</v>
      </c>
      <c r="B22" s="6">
        <f>A22*Assumptions!$B$14</f>
        <v/>
      </c>
      <c r="C22" s="6">
        <f>Assumptions!$B$20+B22*Assumptions!$B$33+A22*Assumptions!$B$34+A22*Assumptions!$B$40+A22*Assumptions!$B$41</f>
        <v/>
      </c>
      <c r="D22" s="7">
        <f>B22-C22</f>
        <v/>
      </c>
      <c r="E22" s="8">
        <f>IF(B22&gt;0,D22/B22,0)</f>
        <v/>
      </c>
      <c r="F22" s="9">
        <f>D22*12</f>
        <v/>
      </c>
      <c r="G22" s="10">
        <f>IF(D22&lt;0,"Loss",IF(D22&lt;20,"Break-even",IF(D22&lt;500,"Growing","Profitable")))</f>
        <v/>
      </c>
    </row>
    <row r="23">
      <c r="A23" s="11" t="n">
        <v>10</v>
      </c>
      <c r="B23" s="12">
        <f>A23*Assumptions!$B$14</f>
        <v/>
      </c>
      <c r="C23" s="12">
        <f>Assumptions!$B$20+B23*Assumptions!$B$33+A23*Assumptions!$B$34+A23*Assumptions!$B$40+A23*Assumptions!$B$41</f>
        <v/>
      </c>
      <c r="D23" s="7">
        <f>B23-C23</f>
        <v/>
      </c>
      <c r="E23" s="13">
        <f>IF(B23&gt;0,D23/B23,0)</f>
        <v/>
      </c>
      <c r="F23" s="9">
        <f>D23*12</f>
        <v/>
      </c>
      <c r="G23" s="10">
        <f>IF(D23&lt;0,"Loss",IF(D23&lt;20,"Break-even",IF(D23&lt;500,"Growing","Profitable")))</f>
        <v/>
      </c>
    </row>
    <row r="24">
      <c r="A24" s="5" t="n">
        <v>15</v>
      </c>
      <c r="B24" s="6">
        <f>A24*Assumptions!$B$14</f>
        <v/>
      </c>
      <c r="C24" s="6">
        <f>Assumptions!$B$20+B24*Assumptions!$B$33+A24*Assumptions!$B$34+A24*Assumptions!$B$40+A24*Assumptions!$B$41</f>
        <v/>
      </c>
      <c r="D24" s="7">
        <f>B24-C24</f>
        <v/>
      </c>
      <c r="E24" s="8">
        <f>IF(B24&gt;0,D24/B24,0)</f>
        <v/>
      </c>
      <c r="F24" s="9">
        <f>D24*12</f>
        <v/>
      </c>
      <c r="G24" s="10">
        <f>IF(D24&lt;0,"Loss",IF(D24&lt;20,"Break-even",IF(D24&lt;500,"Growing","Profitable")))</f>
        <v/>
      </c>
    </row>
    <row r="25">
      <c r="A25" s="11" t="n">
        <v>20</v>
      </c>
      <c r="B25" s="12">
        <f>A25*Assumptions!$B$14</f>
        <v/>
      </c>
      <c r="C25" s="12">
        <f>Assumptions!$B$20+B25*Assumptions!$B$33+A25*Assumptions!$B$34+A25*Assumptions!$B$40+A25*Assumptions!$B$41</f>
        <v/>
      </c>
      <c r="D25" s="7">
        <f>B25-C25</f>
        <v/>
      </c>
      <c r="E25" s="13">
        <f>IF(B25&gt;0,D25/B25,0)</f>
        <v/>
      </c>
      <c r="F25" s="9">
        <f>D25*12</f>
        <v/>
      </c>
      <c r="G25" s="10">
        <f>IF(D25&lt;0,"Loss",IF(D25&lt;20,"Break-even",IF(D25&lt;500,"Growing","Profitable")))</f>
        <v/>
      </c>
    </row>
    <row r="26">
      <c r="A26" s="5" t="n">
        <v>50</v>
      </c>
      <c r="B26" s="6">
        <f>A26*Assumptions!$B$14</f>
        <v/>
      </c>
      <c r="C26" s="6">
        <f>Assumptions!$B$20+B26*Assumptions!$B$33+A26*Assumptions!$B$34+A26*Assumptions!$B$40+A26*Assumptions!$B$41</f>
        <v/>
      </c>
      <c r="D26" s="7">
        <f>B26-C26</f>
        <v/>
      </c>
      <c r="E26" s="8">
        <f>IF(B26&gt;0,D26/B26,0)</f>
        <v/>
      </c>
      <c r="F26" s="9">
        <f>D26*12</f>
        <v/>
      </c>
      <c r="G26" s="10">
        <f>IF(D26&lt;0,"Loss",IF(D26&lt;20,"Break-even",IF(D26&lt;500,"Growing","Profitable")))</f>
        <v/>
      </c>
    </row>
    <row r="27">
      <c r="A27" s="11" t="n">
        <v>100</v>
      </c>
      <c r="B27" s="12">
        <f>A27*Assumptions!$B$14</f>
        <v/>
      </c>
      <c r="C27" s="12">
        <f>Assumptions!$B$20+B27*Assumptions!$B$33+A27*Assumptions!$B$34+A27*Assumptions!$B$40+A27*Assumptions!$B$41</f>
        <v/>
      </c>
      <c r="D27" s="7">
        <f>B27-C27</f>
        <v/>
      </c>
      <c r="E27" s="13">
        <f>IF(B27&gt;0,D27/B27,0)</f>
        <v/>
      </c>
      <c r="F27" s="9">
        <f>D27*12</f>
        <v/>
      </c>
      <c r="G27" s="10">
        <f>IF(D27&lt;0,"Loss",IF(D27&lt;20,"Break-even",IF(D27&lt;500,"Growing","Profitable")))</f>
        <v/>
      </c>
    </row>
    <row r="28">
      <c r="A28" s="5" t="n">
        <v>200</v>
      </c>
      <c r="B28" s="6">
        <f>A28*Assumptions!$B$14</f>
        <v/>
      </c>
      <c r="C28" s="6">
        <f>Assumptions!$B$20+B28*Assumptions!$B$33+A28*Assumptions!$B$34+A28*Assumptions!$B$40+A28*Assumptions!$B$41</f>
        <v/>
      </c>
      <c r="D28" s="7">
        <f>B28-C28</f>
        <v/>
      </c>
      <c r="E28" s="8">
        <f>IF(B28&gt;0,D28/B28,0)</f>
        <v/>
      </c>
      <c r="F28" s="9">
        <f>D28*12</f>
        <v/>
      </c>
      <c r="G28" s="10">
        <f>IF(D28&lt;0,"Loss",IF(D28&lt;20,"Break-even",IF(D28&lt;500,"Growing","Profitable")))</f>
        <v/>
      </c>
    </row>
    <row r="29">
      <c r="A29" s="11" t="n">
        <v>500</v>
      </c>
      <c r="B29" s="12">
        <f>A29*Assumptions!$B$14</f>
        <v/>
      </c>
      <c r="C29" s="12">
        <f>Assumptions!$B$20+B29*Assumptions!$B$33+A29*Assumptions!$B$34+A29*Assumptions!$B$40+A29*Assumptions!$B$41</f>
        <v/>
      </c>
      <c r="D29" s="7">
        <f>B29-C29</f>
        <v/>
      </c>
      <c r="E29" s="13">
        <f>IF(B29&gt;0,D29/B29,0)</f>
        <v/>
      </c>
      <c r="F29" s="9">
        <f>D29*12</f>
        <v/>
      </c>
      <c r="G29" s="10">
        <f>IF(D29&lt;0,"Loss",IF(D29&lt;20,"Break-even",IF(D29&lt;500,"Growing","Profitable")))</f>
        <v/>
      </c>
    </row>
    <row r="30">
      <c r="A30" s="5" t="n">
        <v>1000</v>
      </c>
      <c r="B30" s="6">
        <f>A30*Assumptions!$B$14</f>
        <v/>
      </c>
      <c r="C30" s="6">
        <f>Assumptions!$B$20+B30*Assumptions!$B$33+A30*Assumptions!$B$34+A30*Assumptions!$B$40+A30*Assumptions!$B$41</f>
        <v/>
      </c>
      <c r="D30" s="7">
        <f>B30-C30</f>
        <v/>
      </c>
      <c r="E30" s="8">
        <f>IF(B30&gt;0,D30/B30,0)</f>
        <v/>
      </c>
      <c r="F30" s="9">
        <f>D30*12</f>
        <v/>
      </c>
      <c r="G30" s="10">
        <f>IF(D30&lt;0,"Loss",IF(D30&lt;20,"Break-even",IF(D30&lt;500,"Growing","Profitable")))</f>
        <v/>
      </c>
    </row>
    <row r="31">
      <c r="A31" s="11" t="n">
        <v>2000</v>
      </c>
      <c r="B31" s="12">
        <f>A31*Assumptions!$B$14</f>
        <v/>
      </c>
      <c r="C31" s="12">
        <f>Assumptions!$B$20+B31*Assumptions!$B$33+A31*Assumptions!$B$34+A31*Assumptions!$B$40+A31*Assumptions!$B$41</f>
        <v/>
      </c>
      <c r="D31" s="7">
        <f>B31-C31</f>
        <v/>
      </c>
      <c r="E31" s="13">
        <f>IF(B31&gt;0,D31/B31,0)</f>
        <v/>
      </c>
      <c r="F31" s="9">
        <f>D31*12</f>
        <v/>
      </c>
      <c r="G31" s="10">
        <f>IF(D31&lt;0,"Loss",IF(D31&lt;20,"Break-even",IF(D31&lt;500,"Growing","Profitable")))</f>
        <v/>
      </c>
    </row>
    <row r="32">
      <c r="A32" s="5" t="n">
        <v>5000</v>
      </c>
      <c r="B32" s="6">
        <f>A32*Assumptions!$B$14</f>
        <v/>
      </c>
      <c r="C32" s="6">
        <f>Assumptions!$B$20+B32*Assumptions!$B$33+A32*Assumptions!$B$34+A32*Assumptions!$B$40+A32*Assumptions!$B$41</f>
        <v/>
      </c>
      <c r="D32" s="7">
        <f>B32-C32</f>
        <v/>
      </c>
      <c r="E32" s="8">
        <f>IF(B32&gt;0,D32/B32,0)</f>
        <v/>
      </c>
      <c r="F32" s="9">
        <f>D32*12</f>
        <v/>
      </c>
      <c r="G32" s="10">
        <f>IF(D32&lt;0,"Loss",IF(D32&lt;20,"Break-even",IF(D32&lt;500,"Growing","Profitable")))</f>
        <v/>
      </c>
    </row>
    <row r="34" ht="20" customHeight="1">
      <c r="A34" s="3" t="inlineStr">
        <is>
          <t>CREATOR TIER  —  £7/mo per user</t>
        </is>
      </c>
    </row>
    <row r="35" ht="22" customHeight="1">
      <c r="A35" s="4" t="inlineStr">
        <is>
          <t>Users</t>
        </is>
      </c>
      <c r="B35" s="4" t="inlineStr">
        <is>
          <t>Monthly Revenue</t>
        </is>
      </c>
      <c r="C35" s="4" t="inlineStr">
        <is>
          <t>Total Costs</t>
        </is>
      </c>
      <c r="D35" s="4" t="inlineStr">
        <is>
          <t>Net Profit</t>
        </is>
      </c>
      <c r="E35" s="4" t="inlineStr">
        <is>
          <t>Margin</t>
        </is>
      </c>
      <c r="F35" s="4" t="inlineStr">
        <is>
          <t>Annual Profit</t>
        </is>
      </c>
      <c r="G35" s="4" t="inlineStr">
        <is>
          <t>Status</t>
        </is>
      </c>
    </row>
    <row r="36">
      <c r="A36" s="5" t="n">
        <v>1</v>
      </c>
      <c r="B36" s="6">
        <f>A36*Assumptions!$B$6</f>
        <v/>
      </c>
      <c r="C36" s="6">
        <f>Assumptions!$B$20+B36*Assumptions!$B$33+A36*Assumptions!$B$34+A36*Assumptions!$B$25+A36*Assumptions!$B$26</f>
        <v/>
      </c>
      <c r="D36" s="7">
        <f>B36-C36</f>
        <v/>
      </c>
      <c r="E36" s="8">
        <f>IF(B36&gt;0,D36/B36,0)</f>
        <v/>
      </c>
      <c r="F36" s="9">
        <f>D36*12</f>
        <v/>
      </c>
      <c r="G36" s="10">
        <f>IF(D36&lt;0,"Loss",IF(D36&lt;20,"Break-even",IF(D36&lt;500,"Growing","Profitable")))</f>
        <v/>
      </c>
    </row>
    <row r="37">
      <c r="A37" s="11" t="n">
        <v>5</v>
      </c>
      <c r="B37" s="12">
        <f>A37*Assumptions!$B$6</f>
        <v/>
      </c>
      <c r="C37" s="12">
        <f>Assumptions!$B$20+B37*Assumptions!$B$33+A37*Assumptions!$B$34+A37*Assumptions!$B$25+A37*Assumptions!$B$26</f>
        <v/>
      </c>
      <c r="D37" s="7">
        <f>B37-C37</f>
        <v/>
      </c>
      <c r="E37" s="13">
        <f>IF(B37&gt;0,D37/B37,0)</f>
        <v/>
      </c>
      <c r="F37" s="9">
        <f>D37*12</f>
        <v/>
      </c>
      <c r="G37" s="10">
        <f>IF(D37&lt;0,"Loss",IF(D37&lt;20,"Break-even",IF(D37&lt;500,"Growing","Profitable")))</f>
        <v/>
      </c>
    </row>
    <row r="38">
      <c r="A38" s="5" t="n">
        <v>10</v>
      </c>
      <c r="B38" s="6">
        <f>A38*Assumptions!$B$6</f>
        <v/>
      </c>
      <c r="C38" s="6">
        <f>Assumptions!$B$20+B38*Assumptions!$B$33+A38*Assumptions!$B$34+A38*Assumptions!$B$25+A38*Assumptions!$B$26</f>
        <v/>
      </c>
      <c r="D38" s="7">
        <f>B38-C38</f>
        <v/>
      </c>
      <c r="E38" s="8">
        <f>IF(B38&gt;0,D38/B38,0)</f>
        <v/>
      </c>
      <c r="F38" s="9">
        <f>D38*12</f>
        <v/>
      </c>
      <c r="G38" s="10">
        <f>IF(D38&lt;0,"Loss",IF(D38&lt;20,"Break-even",IF(D38&lt;500,"Growing","Profitable")))</f>
        <v/>
      </c>
    </row>
    <row r="39">
      <c r="A39" s="11" t="n">
        <v>15</v>
      </c>
      <c r="B39" s="12">
        <f>A39*Assumptions!$B$6</f>
        <v/>
      </c>
      <c r="C39" s="12">
        <f>Assumptions!$B$20+B39*Assumptions!$B$33+A39*Assumptions!$B$34+A39*Assumptions!$B$25+A39*Assumptions!$B$26</f>
        <v/>
      </c>
      <c r="D39" s="7">
        <f>B39-C39</f>
        <v/>
      </c>
      <c r="E39" s="13">
        <f>IF(B39&gt;0,D39/B39,0)</f>
        <v/>
      </c>
      <c r="F39" s="9">
        <f>D39*12</f>
        <v/>
      </c>
      <c r="G39" s="10">
        <f>IF(D39&lt;0,"Loss",IF(D39&lt;20,"Break-even",IF(D39&lt;500,"Growing","Profitable")))</f>
        <v/>
      </c>
    </row>
    <row r="40">
      <c r="A40" s="5" t="n">
        <v>20</v>
      </c>
      <c r="B40" s="6">
        <f>A40*Assumptions!$B$6</f>
        <v/>
      </c>
      <c r="C40" s="6">
        <f>Assumptions!$B$20+B40*Assumptions!$B$33+A40*Assumptions!$B$34+A40*Assumptions!$B$25+A40*Assumptions!$B$26</f>
        <v/>
      </c>
      <c r="D40" s="7">
        <f>B40-C40</f>
        <v/>
      </c>
      <c r="E40" s="8">
        <f>IF(B40&gt;0,D40/B40,0)</f>
        <v/>
      </c>
      <c r="F40" s="9">
        <f>D40*12</f>
        <v/>
      </c>
      <c r="G40" s="10">
        <f>IF(D40&lt;0,"Loss",IF(D40&lt;20,"Break-even",IF(D40&lt;500,"Growing","Profitable")))</f>
        <v/>
      </c>
    </row>
    <row r="41">
      <c r="A41" s="11" t="n">
        <v>50</v>
      </c>
      <c r="B41" s="12">
        <f>A41*Assumptions!$B$6</f>
        <v/>
      </c>
      <c r="C41" s="12">
        <f>Assumptions!$B$20+B41*Assumptions!$B$33+A41*Assumptions!$B$34+A41*Assumptions!$B$25+A41*Assumptions!$B$26</f>
        <v/>
      </c>
      <c r="D41" s="7">
        <f>B41-C41</f>
        <v/>
      </c>
      <c r="E41" s="13">
        <f>IF(B41&gt;0,D41/B41,0)</f>
        <v/>
      </c>
      <c r="F41" s="9">
        <f>D41*12</f>
        <v/>
      </c>
      <c r="G41" s="10">
        <f>IF(D41&lt;0,"Loss",IF(D41&lt;20,"Break-even",IF(D41&lt;500,"Growing","Profitable")))</f>
        <v/>
      </c>
    </row>
    <row r="42">
      <c r="A42" s="5" t="n">
        <v>100</v>
      </c>
      <c r="B42" s="6">
        <f>A42*Assumptions!$B$6</f>
        <v/>
      </c>
      <c r="C42" s="6">
        <f>Assumptions!$B$20+B42*Assumptions!$B$33+A42*Assumptions!$B$34+A42*Assumptions!$B$25+A42*Assumptions!$B$26</f>
        <v/>
      </c>
      <c r="D42" s="7">
        <f>B42-C42</f>
        <v/>
      </c>
      <c r="E42" s="8">
        <f>IF(B42&gt;0,D42/B42,0)</f>
        <v/>
      </c>
      <c r="F42" s="9">
        <f>D42*12</f>
        <v/>
      </c>
      <c r="G42" s="10">
        <f>IF(D42&lt;0,"Loss",IF(D42&lt;20,"Break-even",IF(D42&lt;500,"Growing","Profitable")))</f>
        <v/>
      </c>
    </row>
    <row r="43">
      <c r="A43" s="11" t="n">
        <v>200</v>
      </c>
      <c r="B43" s="12">
        <f>A43*Assumptions!$B$6</f>
        <v/>
      </c>
      <c r="C43" s="12">
        <f>Assumptions!$B$20+B43*Assumptions!$B$33+A43*Assumptions!$B$34+A43*Assumptions!$B$25+A43*Assumptions!$B$26</f>
        <v/>
      </c>
      <c r="D43" s="7">
        <f>B43-C43</f>
        <v/>
      </c>
      <c r="E43" s="13">
        <f>IF(B43&gt;0,D43/B43,0)</f>
        <v/>
      </c>
      <c r="F43" s="9">
        <f>D43*12</f>
        <v/>
      </c>
      <c r="G43" s="10">
        <f>IF(D43&lt;0,"Loss",IF(D43&lt;20,"Break-even",IF(D43&lt;500,"Growing","Profitable")))</f>
        <v/>
      </c>
    </row>
    <row r="44">
      <c r="A44" s="5" t="n">
        <v>500</v>
      </c>
      <c r="B44" s="6">
        <f>A44*Assumptions!$B$6</f>
        <v/>
      </c>
      <c r="C44" s="6">
        <f>Assumptions!$B$20+B44*Assumptions!$B$33+A44*Assumptions!$B$34+A44*Assumptions!$B$25+A44*Assumptions!$B$26</f>
        <v/>
      </c>
      <c r="D44" s="7">
        <f>B44-C44</f>
        <v/>
      </c>
      <c r="E44" s="8">
        <f>IF(B44&gt;0,D44/B44,0)</f>
        <v/>
      </c>
      <c r="F44" s="9">
        <f>D44*12</f>
        <v/>
      </c>
      <c r="G44" s="10">
        <f>IF(D44&lt;0,"Loss",IF(D44&lt;20,"Break-even",IF(D44&lt;500,"Growing","Profitable")))</f>
        <v/>
      </c>
    </row>
    <row r="45">
      <c r="A45" s="11" t="n">
        <v>1000</v>
      </c>
      <c r="B45" s="12">
        <f>A45*Assumptions!$B$6</f>
        <v/>
      </c>
      <c r="C45" s="12">
        <f>Assumptions!$B$20+B45*Assumptions!$B$33+A45*Assumptions!$B$34+A45*Assumptions!$B$25+A45*Assumptions!$B$26</f>
        <v/>
      </c>
      <c r="D45" s="7">
        <f>B45-C45</f>
        <v/>
      </c>
      <c r="E45" s="13">
        <f>IF(B45&gt;0,D45/B45,0)</f>
        <v/>
      </c>
      <c r="F45" s="9">
        <f>D45*12</f>
        <v/>
      </c>
      <c r="G45" s="10">
        <f>IF(D45&lt;0,"Loss",IF(D45&lt;20,"Break-even",IF(D45&lt;500,"Growing","Profitable")))</f>
        <v/>
      </c>
    </row>
    <row r="46">
      <c r="A46" s="5" t="n">
        <v>2000</v>
      </c>
      <c r="B46" s="6">
        <f>A46*Assumptions!$B$6</f>
        <v/>
      </c>
      <c r="C46" s="6">
        <f>Assumptions!$B$20+B46*Assumptions!$B$33+A46*Assumptions!$B$34+A46*Assumptions!$B$25+A46*Assumptions!$B$26</f>
        <v/>
      </c>
      <c r="D46" s="7">
        <f>B46-C46</f>
        <v/>
      </c>
      <c r="E46" s="8">
        <f>IF(B46&gt;0,D46/B46,0)</f>
        <v/>
      </c>
      <c r="F46" s="9">
        <f>D46*12</f>
        <v/>
      </c>
      <c r="G46" s="10">
        <f>IF(D46&lt;0,"Loss",IF(D46&lt;20,"Break-even",IF(D46&lt;500,"Growing","Profitable")))</f>
        <v/>
      </c>
    </row>
    <row r="47">
      <c r="A47" s="11" t="n">
        <v>5000</v>
      </c>
      <c r="B47" s="12">
        <f>A47*Assumptions!$B$6</f>
        <v/>
      </c>
      <c r="C47" s="12">
        <f>Assumptions!$B$20+B47*Assumptions!$B$33+A47*Assumptions!$B$34+A47*Assumptions!$B$25+A47*Assumptions!$B$26</f>
        <v/>
      </c>
      <c r="D47" s="7">
        <f>B47-C47</f>
        <v/>
      </c>
      <c r="E47" s="13">
        <f>IF(B47&gt;0,D47/B47,0)</f>
        <v/>
      </c>
      <c r="F47" s="9">
        <f>D47*12</f>
        <v/>
      </c>
      <c r="G47" s="10">
        <f>IF(D47&lt;0,"Loss",IF(D47&lt;20,"Break-even",IF(D47&lt;500,"Growing","Profitable")))</f>
        <v/>
      </c>
    </row>
    <row r="49" ht="20" customHeight="1">
      <c r="A49" s="3" t="inlineStr">
        <is>
          <t>STUDIO TIER  —  £19/mo per user</t>
        </is>
      </c>
    </row>
    <row r="50" ht="22" customHeight="1">
      <c r="A50" s="4" t="inlineStr">
        <is>
          <t>Users</t>
        </is>
      </c>
      <c r="B50" s="4" t="inlineStr">
        <is>
          <t>Monthly Revenue</t>
        </is>
      </c>
      <c r="C50" s="4" t="inlineStr">
        <is>
          <t>Total Costs</t>
        </is>
      </c>
      <c r="D50" s="4" t="inlineStr">
        <is>
          <t>Net Profit</t>
        </is>
      </c>
      <c r="E50" s="4" t="inlineStr">
        <is>
          <t>Margin</t>
        </is>
      </c>
      <c r="F50" s="4" t="inlineStr">
        <is>
          <t>Annual Profit</t>
        </is>
      </c>
      <c r="G50" s="4" t="inlineStr">
        <is>
          <t>Status</t>
        </is>
      </c>
    </row>
    <row r="51">
      <c r="A51" s="11" t="n">
        <v>1</v>
      </c>
      <c r="B51" s="12">
        <f>A51*Assumptions!$B$7</f>
        <v/>
      </c>
      <c r="C51" s="12">
        <f>Assumptions!$B$20+B51*Assumptions!$B$33+A51*Assumptions!$B$34+A51*Assumptions!$B$27+A51*Assumptions!$B$28</f>
        <v/>
      </c>
      <c r="D51" s="7">
        <f>B51-C51</f>
        <v/>
      </c>
      <c r="E51" s="13">
        <f>IF(B51&gt;0,D51/B51,0)</f>
        <v/>
      </c>
      <c r="F51" s="9">
        <f>D51*12</f>
        <v/>
      </c>
      <c r="G51" s="10">
        <f>IF(D51&lt;0,"Loss",IF(D51&lt;20,"Break-even",IF(D51&lt;500,"Growing","Profitable")))</f>
        <v/>
      </c>
    </row>
    <row r="52">
      <c r="A52" s="5" t="n">
        <v>5</v>
      </c>
      <c r="B52" s="6">
        <f>A52*Assumptions!$B$7</f>
        <v/>
      </c>
      <c r="C52" s="6">
        <f>Assumptions!$B$20+B52*Assumptions!$B$33+A52*Assumptions!$B$34+A52*Assumptions!$B$27+A52*Assumptions!$B$28</f>
        <v/>
      </c>
      <c r="D52" s="7">
        <f>B52-C52</f>
        <v/>
      </c>
      <c r="E52" s="8">
        <f>IF(B52&gt;0,D52/B52,0)</f>
        <v/>
      </c>
      <c r="F52" s="9">
        <f>D52*12</f>
        <v/>
      </c>
      <c r="G52" s="10">
        <f>IF(D52&lt;0,"Loss",IF(D52&lt;20,"Break-even",IF(D52&lt;500,"Growing","Profitable")))</f>
        <v/>
      </c>
    </row>
    <row r="53">
      <c r="A53" s="11" t="n">
        <v>10</v>
      </c>
      <c r="B53" s="12">
        <f>A53*Assumptions!$B$7</f>
        <v/>
      </c>
      <c r="C53" s="12">
        <f>Assumptions!$B$20+B53*Assumptions!$B$33+A53*Assumptions!$B$34+A53*Assumptions!$B$27+A53*Assumptions!$B$28</f>
        <v/>
      </c>
      <c r="D53" s="7">
        <f>B53-C53</f>
        <v/>
      </c>
      <c r="E53" s="13">
        <f>IF(B53&gt;0,D53/B53,0)</f>
        <v/>
      </c>
      <c r="F53" s="9">
        <f>D53*12</f>
        <v/>
      </c>
      <c r="G53" s="10">
        <f>IF(D53&lt;0,"Loss",IF(D53&lt;20,"Break-even",IF(D53&lt;500,"Growing","Profitable")))</f>
        <v/>
      </c>
    </row>
    <row r="54">
      <c r="A54" s="5" t="n">
        <v>15</v>
      </c>
      <c r="B54" s="6">
        <f>A54*Assumptions!$B$7</f>
        <v/>
      </c>
      <c r="C54" s="6">
        <f>Assumptions!$B$20+B54*Assumptions!$B$33+A54*Assumptions!$B$34+A54*Assumptions!$B$27+A54*Assumptions!$B$28</f>
        <v/>
      </c>
      <c r="D54" s="7">
        <f>B54-C54</f>
        <v/>
      </c>
      <c r="E54" s="8">
        <f>IF(B54&gt;0,D54/B54,0)</f>
        <v/>
      </c>
      <c r="F54" s="9">
        <f>D54*12</f>
        <v/>
      </c>
      <c r="G54" s="10">
        <f>IF(D54&lt;0,"Loss",IF(D54&lt;20,"Break-even",IF(D54&lt;500,"Growing","Profitable")))</f>
        <v/>
      </c>
    </row>
    <row r="55">
      <c r="A55" s="11" t="n">
        <v>20</v>
      </c>
      <c r="B55" s="12">
        <f>A55*Assumptions!$B$7</f>
        <v/>
      </c>
      <c r="C55" s="12">
        <f>Assumptions!$B$20+B55*Assumptions!$B$33+A55*Assumptions!$B$34+A55*Assumptions!$B$27+A55*Assumptions!$B$28</f>
        <v/>
      </c>
      <c r="D55" s="7">
        <f>B55-C55</f>
        <v/>
      </c>
      <c r="E55" s="13">
        <f>IF(B55&gt;0,D55/B55,0)</f>
        <v/>
      </c>
      <c r="F55" s="9">
        <f>D55*12</f>
        <v/>
      </c>
      <c r="G55" s="10">
        <f>IF(D55&lt;0,"Loss",IF(D55&lt;20,"Break-even",IF(D55&lt;500,"Growing","Profitable")))</f>
        <v/>
      </c>
    </row>
    <row r="56">
      <c r="A56" s="5" t="n">
        <v>50</v>
      </c>
      <c r="B56" s="6">
        <f>A56*Assumptions!$B$7</f>
        <v/>
      </c>
      <c r="C56" s="6">
        <f>Assumptions!$B$20+B56*Assumptions!$B$33+A56*Assumptions!$B$34+A56*Assumptions!$B$27+A56*Assumptions!$B$28</f>
        <v/>
      </c>
      <c r="D56" s="7">
        <f>B56-C56</f>
        <v/>
      </c>
      <c r="E56" s="8">
        <f>IF(B56&gt;0,D56/B56,0)</f>
        <v/>
      </c>
      <c r="F56" s="9">
        <f>D56*12</f>
        <v/>
      </c>
      <c r="G56" s="10">
        <f>IF(D56&lt;0,"Loss",IF(D56&lt;20,"Break-even",IF(D56&lt;500,"Growing","Profitable")))</f>
        <v/>
      </c>
    </row>
    <row r="57">
      <c r="A57" s="11" t="n">
        <v>100</v>
      </c>
      <c r="B57" s="12">
        <f>A57*Assumptions!$B$7</f>
        <v/>
      </c>
      <c r="C57" s="12">
        <f>Assumptions!$B$20+B57*Assumptions!$B$33+A57*Assumptions!$B$34+A57*Assumptions!$B$27+A57*Assumptions!$B$28</f>
        <v/>
      </c>
      <c r="D57" s="7">
        <f>B57-C57</f>
        <v/>
      </c>
      <c r="E57" s="13">
        <f>IF(B57&gt;0,D57/B57,0)</f>
        <v/>
      </c>
      <c r="F57" s="9">
        <f>D57*12</f>
        <v/>
      </c>
      <c r="G57" s="10">
        <f>IF(D57&lt;0,"Loss",IF(D57&lt;20,"Break-even",IF(D57&lt;500,"Growing","Profitable")))</f>
        <v/>
      </c>
    </row>
    <row r="58">
      <c r="A58" s="5" t="n">
        <v>200</v>
      </c>
      <c r="B58" s="6">
        <f>A58*Assumptions!$B$7</f>
        <v/>
      </c>
      <c r="C58" s="6">
        <f>Assumptions!$B$20+B58*Assumptions!$B$33+A58*Assumptions!$B$34+A58*Assumptions!$B$27+A58*Assumptions!$B$28</f>
        <v/>
      </c>
      <c r="D58" s="7">
        <f>B58-C58</f>
        <v/>
      </c>
      <c r="E58" s="8">
        <f>IF(B58&gt;0,D58/B58,0)</f>
        <v/>
      </c>
      <c r="F58" s="9">
        <f>D58*12</f>
        <v/>
      </c>
      <c r="G58" s="10">
        <f>IF(D58&lt;0,"Loss",IF(D58&lt;20,"Break-even",IF(D58&lt;500,"Growing","Profitable")))</f>
        <v/>
      </c>
    </row>
    <row r="59">
      <c r="A59" s="11" t="n">
        <v>500</v>
      </c>
      <c r="B59" s="12">
        <f>A59*Assumptions!$B$7</f>
        <v/>
      </c>
      <c r="C59" s="12">
        <f>Assumptions!$B$20+B59*Assumptions!$B$33+A59*Assumptions!$B$34+A59*Assumptions!$B$27+A59*Assumptions!$B$28</f>
        <v/>
      </c>
      <c r="D59" s="7">
        <f>B59-C59</f>
        <v/>
      </c>
      <c r="E59" s="13">
        <f>IF(B59&gt;0,D59/B59,0)</f>
        <v/>
      </c>
      <c r="F59" s="9">
        <f>D59*12</f>
        <v/>
      </c>
      <c r="G59" s="10">
        <f>IF(D59&lt;0,"Loss",IF(D59&lt;20,"Break-even",IF(D59&lt;500,"Growing","Profitable")))</f>
        <v/>
      </c>
    </row>
    <row r="60">
      <c r="A60" s="5" t="n">
        <v>1000</v>
      </c>
      <c r="B60" s="6">
        <f>A60*Assumptions!$B$7</f>
        <v/>
      </c>
      <c r="C60" s="6">
        <f>Assumptions!$B$20+B60*Assumptions!$B$33+A60*Assumptions!$B$34+A60*Assumptions!$B$27+A60*Assumptions!$B$28</f>
        <v/>
      </c>
      <c r="D60" s="7">
        <f>B60-C60</f>
        <v/>
      </c>
      <c r="E60" s="8">
        <f>IF(B60&gt;0,D60/B60,0)</f>
        <v/>
      </c>
      <c r="F60" s="9">
        <f>D60*12</f>
        <v/>
      </c>
      <c r="G60" s="10">
        <f>IF(D60&lt;0,"Loss",IF(D60&lt;20,"Break-even",IF(D60&lt;500,"Growing","Profitable")))</f>
        <v/>
      </c>
    </row>
    <row r="61">
      <c r="A61" s="11" t="n">
        <v>2000</v>
      </c>
      <c r="B61" s="12">
        <f>A61*Assumptions!$B$7</f>
        <v/>
      </c>
      <c r="C61" s="12">
        <f>Assumptions!$B$20+B61*Assumptions!$B$33+A61*Assumptions!$B$34+A61*Assumptions!$B$27+A61*Assumptions!$B$28</f>
        <v/>
      </c>
      <c r="D61" s="7">
        <f>B61-C61</f>
        <v/>
      </c>
      <c r="E61" s="13">
        <f>IF(B61&gt;0,D61/B61,0)</f>
        <v/>
      </c>
      <c r="F61" s="9">
        <f>D61*12</f>
        <v/>
      </c>
      <c r="G61" s="10">
        <f>IF(D61&lt;0,"Loss",IF(D61&lt;20,"Break-even",IF(D61&lt;500,"Growing","Profitable")))</f>
        <v/>
      </c>
    </row>
    <row r="62">
      <c r="A62" s="5" t="n">
        <v>5000</v>
      </c>
      <c r="B62" s="6">
        <f>A62*Assumptions!$B$7</f>
        <v/>
      </c>
      <c r="C62" s="6">
        <f>Assumptions!$B$20+B62*Assumptions!$B$33+A62*Assumptions!$B$34+A62*Assumptions!$B$27+A62*Assumptions!$B$28</f>
        <v/>
      </c>
      <c r="D62" s="7">
        <f>B62-C62</f>
        <v/>
      </c>
      <c r="E62" s="8">
        <f>IF(B62&gt;0,D62/B62,0)</f>
        <v/>
      </c>
      <c r="F62" s="9">
        <f>D62*12</f>
        <v/>
      </c>
      <c r="G62" s="10">
        <f>IF(D62&lt;0,"Loss",IF(D62&lt;20,"Break-even",IF(D62&lt;500,"Growing","Profitable")))</f>
        <v/>
      </c>
    </row>
    <row r="64" ht="20" customHeight="1">
      <c r="A64" s="3" t="inlineStr">
        <is>
          <t>ENTERPRISE TIER  —  £45/mo per user</t>
        </is>
      </c>
    </row>
    <row r="65" ht="22" customHeight="1">
      <c r="A65" s="4" t="inlineStr">
        <is>
          <t>Users</t>
        </is>
      </c>
      <c r="B65" s="4" t="inlineStr">
        <is>
          <t>Monthly Revenue</t>
        </is>
      </c>
      <c r="C65" s="4" t="inlineStr">
        <is>
          <t>Total Costs</t>
        </is>
      </c>
      <c r="D65" s="4" t="inlineStr">
        <is>
          <t>Net Profit</t>
        </is>
      </c>
      <c r="E65" s="4" t="inlineStr">
        <is>
          <t>Margin</t>
        </is>
      </c>
      <c r="F65" s="4" t="inlineStr">
        <is>
          <t>Annual Profit</t>
        </is>
      </c>
      <c r="G65" s="4" t="inlineStr">
        <is>
          <t>Status</t>
        </is>
      </c>
    </row>
    <row r="66">
      <c r="A66" s="5" t="n">
        <v>1</v>
      </c>
      <c r="B66" s="6">
        <f>A66*Assumptions!$B$8</f>
        <v/>
      </c>
      <c r="C66" s="6">
        <f>Assumptions!$B$20+B66*Assumptions!$B$33+A66*Assumptions!$B$34+A66*Assumptions!$B$29+A66*Assumptions!$B$30</f>
        <v/>
      </c>
      <c r="D66" s="7">
        <f>B66-C66</f>
        <v/>
      </c>
      <c r="E66" s="8">
        <f>IF(B66&gt;0,D66/B66,0)</f>
        <v/>
      </c>
      <c r="F66" s="9">
        <f>D66*12</f>
        <v/>
      </c>
      <c r="G66" s="10">
        <f>IF(D66&lt;0,"Loss",IF(D66&lt;20,"Break-even",IF(D66&lt;500,"Growing","Profitable")))</f>
        <v/>
      </c>
    </row>
    <row r="67">
      <c r="A67" s="11" t="n">
        <v>5</v>
      </c>
      <c r="B67" s="12">
        <f>A67*Assumptions!$B$8</f>
        <v/>
      </c>
      <c r="C67" s="12">
        <f>Assumptions!$B$20+B67*Assumptions!$B$33+A67*Assumptions!$B$34+A67*Assumptions!$B$29+A67*Assumptions!$B$30</f>
        <v/>
      </c>
      <c r="D67" s="7">
        <f>B67-C67</f>
        <v/>
      </c>
      <c r="E67" s="13">
        <f>IF(B67&gt;0,D67/B67,0)</f>
        <v/>
      </c>
      <c r="F67" s="9">
        <f>D67*12</f>
        <v/>
      </c>
      <c r="G67" s="10">
        <f>IF(D67&lt;0,"Loss",IF(D67&lt;20,"Break-even",IF(D67&lt;500,"Growing","Profitable")))</f>
        <v/>
      </c>
    </row>
    <row r="68">
      <c r="A68" s="5" t="n">
        <v>10</v>
      </c>
      <c r="B68" s="6">
        <f>A68*Assumptions!$B$8</f>
        <v/>
      </c>
      <c r="C68" s="6">
        <f>Assumptions!$B$20+B68*Assumptions!$B$33+A68*Assumptions!$B$34+A68*Assumptions!$B$29+A68*Assumptions!$B$30</f>
        <v/>
      </c>
      <c r="D68" s="7">
        <f>B68-C68</f>
        <v/>
      </c>
      <c r="E68" s="8">
        <f>IF(B68&gt;0,D68/B68,0)</f>
        <v/>
      </c>
      <c r="F68" s="9">
        <f>D68*12</f>
        <v/>
      </c>
      <c r="G68" s="10">
        <f>IF(D68&lt;0,"Loss",IF(D68&lt;20,"Break-even",IF(D68&lt;500,"Growing","Profitable")))</f>
        <v/>
      </c>
    </row>
    <row r="69">
      <c r="A69" s="11" t="n">
        <v>15</v>
      </c>
      <c r="B69" s="12">
        <f>A69*Assumptions!$B$8</f>
        <v/>
      </c>
      <c r="C69" s="12">
        <f>Assumptions!$B$20+B69*Assumptions!$B$33+A69*Assumptions!$B$34+A69*Assumptions!$B$29+A69*Assumptions!$B$30</f>
        <v/>
      </c>
      <c r="D69" s="7">
        <f>B69-C69</f>
        <v/>
      </c>
      <c r="E69" s="13">
        <f>IF(B69&gt;0,D69/B69,0)</f>
        <v/>
      </c>
      <c r="F69" s="9">
        <f>D69*12</f>
        <v/>
      </c>
      <c r="G69" s="10">
        <f>IF(D69&lt;0,"Loss",IF(D69&lt;20,"Break-even",IF(D69&lt;500,"Growing","Profitable")))</f>
        <v/>
      </c>
    </row>
    <row r="70">
      <c r="A70" s="5" t="n">
        <v>20</v>
      </c>
      <c r="B70" s="6">
        <f>A70*Assumptions!$B$8</f>
        <v/>
      </c>
      <c r="C70" s="6">
        <f>Assumptions!$B$20+B70*Assumptions!$B$33+A70*Assumptions!$B$34+A70*Assumptions!$B$29+A70*Assumptions!$B$30</f>
        <v/>
      </c>
      <c r="D70" s="7">
        <f>B70-C70</f>
        <v/>
      </c>
      <c r="E70" s="8">
        <f>IF(B70&gt;0,D70/B70,0)</f>
        <v/>
      </c>
      <c r="F70" s="9">
        <f>D70*12</f>
        <v/>
      </c>
      <c r="G70" s="10">
        <f>IF(D70&lt;0,"Loss",IF(D70&lt;20,"Break-even",IF(D70&lt;500,"Growing","Profitable")))</f>
        <v/>
      </c>
    </row>
    <row r="71">
      <c r="A71" s="11" t="n">
        <v>50</v>
      </c>
      <c r="B71" s="12">
        <f>A71*Assumptions!$B$8</f>
        <v/>
      </c>
      <c r="C71" s="12">
        <f>Assumptions!$B$20+B71*Assumptions!$B$33+A71*Assumptions!$B$34+A71*Assumptions!$B$29+A71*Assumptions!$B$30</f>
        <v/>
      </c>
      <c r="D71" s="7">
        <f>B71-C71</f>
        <v/>
      </c>
      <c r="E71" s="13">
        <f>IF(B71&gt;0,D71/B71,0)</f>
        <v/>
      </c>
      <c r="F71" s="9">
        <f>D71*12</f>
        <v/>
      </c>
      <c r="G71" s="10">
        <f>IF(D71&lt;0,"Loss",IF(D71&lt;20,"Break-even",IF(D71&lt;500,"Growing","Profitable")))</f>
        <v/>
      </c>
    </row>
    <row r="72">
      <c r="A72" s="5" t="n">
        <v>100</v>
      </c>
      <c r="B72" s="6">
        <f>A72*Assumptions!$B$8</f>
        <v/>
      </c>
      <c r="C72" s="6">
        <f>Assumptions!$B$20+B72*Assumptions!$B$33+A72*Assumptions!$B$34+A72*Assumptions!$B$29+A72*Assumptions!$B$30</f>
        <v/>
      </c>
      <c r="D72" s="7">
        <f>B72-C72</f>
        <v/>
      </c>
      <c r="E72" s="8">
        <f>IF(B72&gt;0,D72/B72,0)</f>
        <v/>
      </c>
      <c r="F72" s="9">
        <f>D72*12</f>
        <v/>
      </c>
      <c r="G72" s="10">
        <f>IF(D72&lt;0,"Loss",IF(D72&lt;20,"Break-even",IF(D72&lt;500,"Growing","Profitable")))</f>
        <v/>
      </c>
    </row>
    <row r="73">
      <c r="A73" s="11" t="n">
        <v>200</v>
      </c>
      <c r="B73" s="12">
        <f>A73*Assumptions!$B$8</f>
        <v/>
      </c>
      <c r="C73" s="12">
        <f>Assumptions!$B$20+B73*Assumptions!$B$33+A73*Assumptions!$B$34+A73*Assumptions!$B$29+A73*Assumptions!$B$30</f>
        <v/>
      </c>
      <c r="D73" s="7">
        <f>B73-C73</f>
        <v/>
      </c>
      <c r="E73" s="13">
        <f>IF(B73&gt;0,D73/B73,0)</f>
        <v/>
      </c>
      <c r="F73" s="9">
        <f>D73*12</f>
        <v/>
      </c>
      <c r="G73" s="10">
        <f>IF(D73&lt;0,"Loss",IF(D73&lt;20,"Break-even",IF(D73&lt;500,"Growing","Profitable")))</f>
        <v/>
      </c>
    </row>
    <row r="74">
      <c r="A74" s="5" t="n">
        <v>500</v>
      </c>
      <c r="B74" s="6">
        <f>A74*Assumptions!$B$8</f>
        <v/>
      </c>
      <c r="C74" s="6">
        <f>Assumptions!$B$20+B74*Assumptions!$B$33+A74*Assumptions!$B$34+A74*Assumptions!$B$29+A74*Assumptions!$B$30</f>
        <v/>
      </c>
      <c r="D74" s="7">
        <f>B74-C74</f>
        <v/>
      </c>
      <c r="E74" s="8">
        <f>IF(B74&gt;0,D74/B74,0)</f>
        <v/>
      </c>
      <c r="F74" s="9">
        <f>D74*12</f>
        <v/>
      </c>
      <c r="G74" s="10">
        <f>IF(D74&lt;0,"Loss",IF(D74&lt;20,"Break-even",IF(D74&lt;500,"Growing","Profitable")))</f>
        <v/>
      </c>
    </row>
    <row r="75">
      <c r="A75" s="11" t="n">
        <v>1000</v>
      </c>
      <c r="B75" s="12">
        <f>A75*Assumptions!$B$8</f>
        <v/>
      </c>
      <c r="C75" s="12">
        <f>Assumptions!$B$20+B75*Assumptions!$B$33+A75*Assumptions!$B$34+A75*Assumptions!$B$29+A75*Assumptions!$B$30</f>
        <v/>
      </c>
      <c r="D75" s="7">
        <f>B75-C75</f>
        <v/>
      </c>
      <c r="E75" s="13">
        <f>IF(B75&gt;0,D75/B75,0)</f>
        <v/>
      </c>
      <c r="F75" s="9">
        <f>D75*12</f>
        <v/>
      </c>
      <c r="G75" s="10">
        <f>IF(D75&lt;0,"Loss",IF(D75&lt;20,"Break-even",IF(D75&lt;500,"Growing","Profitable")))</f>
        <v/>
      </c>
    </row>
    <row r="76">
      <c r="A76" s="5" t="n">
        <v>2000</v>
      </c>
      <c r="B76" s="6">
        <f>A76*Assumptions!$B$8</f>
        <v/>
      </c>
      <c r="C76" s="6">
        <f>Assumptions!$B$20+B76*Assumptions!$B$33+A76*Assumptions!$B$34+A76*Assumptions!$B$29+A76*Assumptions!$B$30</f>
        <v/>
      </c>
      <c r="D76" s="7">
        <f>B76-C76</f>
        <v/>
      </c>
      <c r="E76" s="8">
        <f>IF(B76&gt;0,D76/B76,0)</f>
        <v/>
      </c>
      <c r="F76" s="9">
        <f>D76*12</f>
        <v/>
      </c>
      <c r="G76" s="10">
        <f>IF(D76&lt;0,"Loss",IF(D76&lt;20,"Break-even",IF(D76&lt;500,"Growing","Profitable")))</f>
        <v/>
      </c>
    </row>
    <row r="77">
      <c r="A77" s="11" t="n">
        <v>5000</v>
      </c>
      <c r="B77" s="12">
        <f>A77*Assumptions!$B$8</f>
        <v/>
      </c>
      <c r="C77" s="12">
        <f>Assumptions!$B$20+B77*Assumptions!$B$33+A77*Assumptions!$B$34+A77*Assumptions!$B$29+A77*Assumptions!$B$30</f>
        <v/>
      </c>
      <c r="D77" s="7">
        <f>B77-C77</f>
        <v/>
      </c>
      <c r="E77" s="13">
        <f>IF(B77&gt;0,D77/B77,0)</f>
        <v/>
      </c>
      <c r="F77" s="9">
        <f>D77*12</f>
        <v/>
      </c>
      <c r="G77" s="10">
        <f>IF(D77&lt;0,"Loss",IF(D77&lt;20,"Break-even",IF(D77&lt;500,"Growing","Profitable")))</f>
        <v/>
      </c>
    </row>
    <row r="79" ht="32" customHeight="1">
      <c r="A79" s="14" t="inlineStr">
        <is>
          <t>All figures driven by Assumptions sheet — edit yellow input cells there to update this entire workbook.  Explorer shows infrastructure cost of free/trial users — Revenue and Stripe fees are always £0.  Top-up credit revenue not yet included.</t>
        </is>
      </c>
    </row>
  </sheetData>
  <mergeCells count="8">
    <mergeCell ref="A1:G1"/>
    <mergeCell ref="A79:G79"/>
    <mergeCell ref="A34:G34"/>
    <mergeCell ref="A4:G4"/>
    <mergeCell ref="A2:G2"/>
    <mergeCell ref="A64:G64"/>
    <mergeCell ref="A19:G19"/>
    <mergeCell ref="A49:G49"/>
  </mergeCells>
  <conditionalFormatting sqref="D6:D17">
    <cfRule type="cellIs" priority="1" operator="lessThan" dxfId="0">
      <formula>0</formula>
    </cfRule>
    <cfRule type="cellIs" priority="2" operator="greaterThanOrEqual" dxfId="1">
      <formula>0</formula>
    </cfRule>
  </conditionalFormatting>
  <conditionalFormatting sqref="F6:F17">
    <cfRule type="cellIs" priority="3" operator="lessThan" dxfId="0">
      <formula>0</formula>
    </cfRule>
    <cfRule type="cellIs" priority="4" operator="greaterThanOrEqual" dxfId="1">
      <formula>0</formula>
    </cfRule>
  </conditionalFormatting>
  <conditionalFormatting sqref="E6:E17">
    <cfRule type="cellIs" priority="5" operator="lessThan" dxfId="0">
      <formula>0</formula>
    </cfRule>
    <cfRule type="cellIs" priority="6" operator="between" dxfId="2">
      <formula>0</formula>
      <formula>0.2</formula>
    </cfRule>
    <cfRule type="cellIs" priority="7" operator="greaterThanOrEqual" dxfId="1">
      <formula>0.2</formula>
    </cfRule>
  </conditionalFormatting>
  <conditionalFormatting sqref="G6:G17">
    <cfRule type="expression" priority="8" dxfId="0">
      <formula>G6="Loss"</formula>
    </cfRule>
    <cfRule type="expression" priority="9" dxfId="2">
      <formula>G6="Break-even"</formula>
    </cfRule>
    <cfRule type="expression" priority="10" dxfId="1">
      <formula>G6="Growing"</formula>
    </cfRule>
    <cfRule type="expression" priority="11" dxfId="1">
      <formula>G6="Profitable"</formula>
    </cfRule>
  </conditionalFormatting>
  <conditionalFormatting sqref="D21:D32">
    <cfRule type="cellIs" priority="12" operator="lessThan" dxfId="0">
      <formula>0</formula>
    </cfRule>
    <cfRule type="cellIs" priority="13" operator="greaterThanOrEqual" dxfId="1">
      <formula>0</formula>
    </cfRule>
  </conditionalFormatting>
  <conditionalFormatting sqref="F21:F32">
    <cfRule type="cellIs" priority="14" operator="lessThan" dxfId="0">
      <formula>0</formula>
    </cfRule>
    <cfRule type="cellIs" priority="15" operator="greaterThanOrEqual" dxfId="1">
      <formula>0</formula>
    </cfRule>
  </conditionalFormatting>
  <conditionalFormatting sqref="E21:E32">
    <cfRule type="cellIs" priority="16" operator="lessThan" dxfId="0">
      <formula>0</formula>
    </cfRule>
    <cfRule type="cellIs" priority="17" operator="between" dxfId="2">
      <formula>0</formula>
      <formula>0.2</formula>
    </cfRule>
    <cfRule type="cellIs" priority="18" operator="greaterThanOrEqual" dxfId="1">
      <formula>0.2</formula>
    </cfRule>
  </conditionalFormatting>
  <conditionalFormatting sqref="G21:G32">
    <cfRule type="expression" priority="19" dxfId="0">
      <formula>G21="Loss"</formula>
    </cfRule>
    <cfRule type="expression" priority="20" dxfId="2">
      <formula>G21="Break-even"</formula>
    </cfRule>
    <cfRule type="expression" priority="21" dxfId="1">
      <formula>G21="Growing"</formula>
    </cfRule>
    <cfRule type="expression" priority="22" dxfId="1">
      <formula>G21="Profitable"</formula>
    </cfRule>
  </conditionalFormatting>
  <conditionalFormatting sqref="D36:D47">
    <cfRule type="cellIs" priority="23" operator="lessThan" dxfId="0">
      <formula>0</formula>
    </cfRule>
    <cfRule type="cellIs" priority="24" operator="greaterThanOrEqual" dxfId="1">
      <formula>0</formula>
    </cfRule>
  </conditionalFormatting>
  <conditionalFormatting sqref="F36:F47">
    <cfRule type="cellIs" priority="25" operator="lessThan" dxfId="0">
      <formula>0</formula>
    </cfRule>
    <cfRule type="cellIs" priority="26" operator="greaterThanOrEqual" dxfId="1">
      <formula>0</formula>
    </cfRule>
  </conditionalFormatting>
  <conditionalFormatting sqref="E36:E47">
    <cfRule type="cellIs" priority="27" operator="lessThan" dxfId="0">
      <formula>0</formula>
    </cfRule>
    <cfRule type="cellIs" priority="28" operator="between" dxfId="2">
      <formula>0</formula>
      <formula>0.2</formula>
    </cfRule>
    <cfRule type="cellIs" priority="29" operator="greaterThanOrEqual" dxfId="1">
      <formula>0.2</formula>
    </cfRule>
  </conditionalFormatting>
  <conditionalFormatting sqref="G36:G47">
    <cfRule type="expression" priority="30" dxfId="0">
      <formula>G36="Loss"</formula>
    </cfRule>
    <cfRule type="expression" priority="31" dxfId="2">
      <formula>G36="Break-even"</formula>
    </cfRule>
    <cfRule type="expression" priority="32" dxfId="1">
      <formula>G36="Growing"</formula>
    </cfRule>
    <cfRule type="expression" priority="33" dxfId="1">
      <formula>G36="Profitable"</formula>
    </cfRule>
  </conditionalFormatting>
  <conditionalFormatting sqref="D51:D62">
    <cfRule type="cellIs" priority="34" operator="lessThan" dxfId="0">
      <formula>0</formula>
    </cfRule>
    <cfRule type="cellIs" priority="35" operator="greaterThanOrEqual" dxfId="1">
      <formula>0</formula>
    </cfRule>
  </conditionalFormatting>
  <conditionalFormatting sqref="F51:F62">
    <cfRule type="cellIs" priority="36" operator="lessThan" dxfId="0">
      <formula>0</formula>
    </cfRule>
    <cfRule type="cellIs" priority="37" operator="greaterThanOrEqual" dxfId="1">
      <formula>0</formula>
    </cfRule>
  </conditionalFormatting>
  <conditionalFormatting sqref="E51:E62">
    <cfRule type="cellIs" priority="38" operator="lessThan" dxfId="0">
      <formula>0</formula>
    </cfRule>
    <cfRule type="cellIs" priority="39" operator="between" dxfId="2">
      <formula>0</formula>
      <formula>0.2</formula>
    </cfRule>
    <cfRule type="cellIs" priority="40" operator="greaterThanOrEqual" dxfId="1">
      <formula>0.2</formula>
    </cfRule>
  </conditionalFormatting>
  <conditionalFormatting sqref="G51:G62">
    <cfRule type="expression" priority="41" dxfId="0">
      <formula>G51="Loss"</formula>
    </cfRule>
    <cfRule type="expression" priority="42" dxfId="2">
      <formula>G51="Break-even"</formula>
    </cfRule>
    <cfRule type="expression" priority="43" dxfId="1">
      <formula>G51="Growing"</formula>
    </cfRule>
    <cfRule type="expression" priority="44" dxfId="1">
      <formula>G51="Profitable"</formula>
    </cfRule>
  </conditionalFormatting>
  <conditionalFormatting sqref="D66:D77">
    <cfRule type="cellIs" priority="45" operator="lessThan" dxfId="0">
      <formula>0</formula>
    </cfRule>
    <cfRule type="cellIs" priority="46" operator="greaterThanOrEqual" dxfId="1">
      <formula>0</formula>
    </cfRule>
  </conditionalFormatting>
  <conditionalFormatting sqref="F66:F77">
    <cfRule type="cellIs" priority="47" operator="lessThan" dxfId="0">
      <formula>0</formula>
    </cfRule>
    <cfRule type="cellIs" priority="48" operator="greaterThanOrEqual" dxfId="1">
      <formula>0</formula>
    </cfRule>
  </conditionalFormatting>
  <conditionalFormatting sqref="E66:E77">
    <cfRule type="cellIs" priority="49" operator="lessThan" dxfId="0">
      <formula>0</formula>
    </cfRule>
    <cfRule type="cellIs" priority="50" operator="between" dxfId="2">
      <formula>0</formula>
      <formula>0.2</formula>
    </cfRule>
    <cfRule type="cellIs" priority="51" operator="greaterThanOrEqual" dxfId="1">
      <formula>0.2</formula>
    </cfRule>
  </conditionalFormatting>
  <conditionalFormatting sqref="G66:G77">
    <cfRule type="expression" priority="52" dxfId="0">
      <formula>G66="Loss"</formula>
    </cfRule>
    <cfRule type="expression" priority="53" dxfId="2">
      <formula>G66="Break-even"</formula>
    </cfRule>
    <cfRule type="expression" priority="54" dxfId="1">
      <formula>G66="Growing"</formula>
    </cfRule>
    <cfRule type="expression" priority="55" dxfId="1">
      <formula>G66="Profitable"</formula>
    </cfRule>
  </conditionalFormatting>
  <pageMargins left="0.75" right="0.75" top="1" bottom="1" header="0.5" footer="0.5"/>
</worksheet>
</file>

<file path=xl/worksheets/sheet2.xml><?xml version="1.0" encoding="utf-8"?>
<worksheet xmlns="http://schemas.openxmlformats.org/spreadsheetml/2006/main">
  <sheetPr>
    <tabColor rgb="00E53935"/>
    <outlinePr summaryBelow="1" summaryRight="1"/>
    <pageSetUpPr/>
  </sheetPr>
  <dimension ref="A1:C48"/>
  <sheetViews>
    <sheetView workbookViewId="0">
      <selection activeCell="A1" sqref="A1"/>
    </sheetView>
  </sheetViews>
  <sheetFormatPr baseColWidth="8" defaultRowHeight="15"/>
  <cols>
    <col width="36" customWidth="1" min="1" max="1"/>
    <col width="16" customWidth="1" min="2" max="2"/>
    <col width="58" customWidth="1" min="3" max="3"/>
  </cols>
  <sheetData>
    <row r="1" ht="30" customHeight="1">
      <c r="A1" s="15" t="inlineStr">
        <is>
          <t>YT Transcriber — Financial Model Assumptions</t>
        </is>
      </c>
    </row>
    <row r="2" ht="16" customHeight="1">
      <c r="A2" s="2" t="inlineStr">
        <is>
          <t>Model C: Explorer (free trial) / Creator / Studio / Enterprise     |     13 June 2026</t>
        </is>
      </c>
    </row>
    <row r="4" ht="20" customHeight="1">
      <c r="A4" s="16" t="inlineStr">
        <is>
          <t>Assumption</t>
        </is>
      </c>
      <c r="B4" s="16" t="inlineStr">
        <is>
          <t>Value</t>
        </is>
      </c>
      <c r="C4" s="16" t="inlineStr">
        <is>
          <t>Notes</t>
        </is>
      </c>
    </row>
    <row r="5" ht="18" customHeight="1">
      <c r="A5" s="17" t="inlineStr">
        <is>
          <t>── TIER PRICING ──</t>
        </is>
      </c>
    </row>
    <row r="6">
      <c r="A6" s="18" t="inlineStr">
        <is>
          <t>Creator monthly price</t>
        </is>
      </c>
      <c r="B6" s="19" t="n">
        <v>7</v>
      </c>
      <c r="C6" s="20" t="inlineStr">
        <is>
          <t>£7.00/mo — entry paid tier</t>
        </is>
      </c>
    </row>
    <row r="7">
      <c r="A7" s="18" t="inlineStr">
        <is>
          <t>Studio monthly price</t>
        </is>
      </c>
      <c r="B7" s="19" t="n">
        <v>19</v>
      </c>
      <c r="C7" s="20" t="inlineStr">
        <is>
          <t>£19.00/mo — intended sweet spot</t>
        </is>
      </c>
    </row>
    <row r="8">
      <c r="A8" s="18" t="inlineStr">
        <is>
          <t>Enterprise monthly price</t>
        </is>
      </c>
      <c r="B8" s="19" t="n">
        <v>45</v>
      </c>
      <c r="C8" s="20" t="inlineStr">
        <is>
          <t>£45.00/mo — team &amp; power users</t>
        </is>
      </c>
    </row>
    <row r="10" ht="18" customHeight="1">
      <c r="A10" s="17" t="inlineStr">
        <is>
          <t>── TIER MIX (% of paying users) ──</t>
        </is>
      </c>
    </row>
    <row r="11">
      <c r="A11" s="18" t="inlineStr">
        <is>
          <t>Creator share</t>
        </is>
      </c>
      <c r="B11" s="21" t="n">
        <v>0.2</v>
      </c>
      <c r="C11" s="20" t="inlineStr">
        <is>
          <t>20% of paying users — update from real data when available</t>
        </is>
      </c>
    </row>
    <row r="12">
      <c r="A12" s="18" t="inlineStr">
        <is>
          <t>Studio share</t>
        </is>
      </c>
      <c r="B12" s="21" t="n">
        <v>0.55</v>
      </c>
      <c r="C12" s="20" t="inlineStr">
        <is>
          <t>55% of paying users — intended sweet spot</t>
        </is>
      </c>
    </row>
    <row r="13">
      <c r="A13" s="18" t="inlineStr">
        <is>
          <t>Enterprise share</t>
        </is>
      </c>
      <c r="B13" s="21" t="n">
        <v>0.25</v>
      </c>
      <c r="C13" s="20" t="inlineStr">
        <is>
          <t>25% of paying users</t>
        </is>
      </c>
    </row>
    <row r="14">
      <c r="A14" s="22" t="inlineStr">
        <is>
          <t>Blended ARPU (auto)</t>
        </is>
      </c>
      <c r="B14" s="23">
        <f>$B$6*$B$11+$B$7*$B$12+$B$8*$B$13</f>
        <v/>
      </c>
      <c r="C14" s="24" t="inlineStr">
        <is>
          <t>Weighted avg revenue per paying user — updates automatically</t>
        </is>
      </c>
    </row>
    <row r="16" ht="18" customHeight="1">
      <c r="A16" s="17" t="inlineStr">
        <is>
          <t>── FIXED MONTHLY COSTS ──</t>
        </is>
      </c>
    </row>
    <row r="17">
      <c r="A17" s="18" t="inlineStr">
        <is>
          <t>Vercel Pro (hosting)</t>
        </is>
      </c>
      <c r="B17" s="19" t="n">
        <v>16</v>
      </c>
      <c r="C17" s="20" t="inlineStr">
        <is>
          <t>Next.js hosting — Vercel Pro plan</t>
        </is>
      </c>
    </row>
    <row r="18">
      <c r="A18" s="18" t="inlineStr">
        <is>
          <t>Supabase Pro (database)</t>
        </is>
      </c>
      <c r="B18" s="19" t="n">
        <v>20</v>
      </c>
      <c r="C18" s="20" t="inlineStr">
        <is>
          <t>Managed Postgres — required for commercial use</t>
        </is>
      </c>
    </row>
    <row r="19">
      <c r="A19" s="18" t="inlineStr">
        <is>
          <t>Domain &amp; SSL (amortised)</t>
        </is>
      </c>
      <c r="B19" s="19" t="n">
        <v>1.25</v>
      </c>
      <c r="C19" s="20" t="inlineStr">
        <is>
          <t>~£15/year domain, amortised monthly</t>
        </is>
      </c>
    </row>
    <row r="20">
      <c r="A20" s="22" t="inlineStr">
        <is>
          <t>Total fixed costs (auto)</t>
        </is>
      </c>
      <c r="B20" s="23">
        <f>$B$17+$B$18+$B$19</f>
        <v/>
      </c>
      <c r="C20" s="24" t="inlineStr">
        <is>
          <t>Sum of all fixed costs — applies regardless of user count</t>
        </is>
      </c>
    </row>
    <row r="22" ht="18" customHeight="1">
      <c r="A22" s="17" t="inlineStr">
        <is>
          <t>── VARIABLE COSTS (per user / month) ──</t>
        </is>
      </c>
    </row>
    <row r="23">
      <c r="A23" s="18" t="inlineStr">
        <is>
          <t>Explorer variable cost</t>
        </is>
      </c>
      <c r="B23" s="19" t="n">
        <v>0.005</v>
      </c>
      <c r="C23" s="20" t="inlineStr">
        <is>
          <t>Storage &amp; bandwidth for 3 trial videos — no AI, no screenshots</t>
        </is>
      </c>
    </row>
    <row r="24">
      <c r="A24" s="18" t="inlineStr">
        <is>
          <t>Explorer AI cost</t>
        </is>
      </c>
      <c r="B24" s="19" t="n">
        <v>0</v>
      </c>
      <c r="C24" s="20" t="inlineStr">
        <is>
          <t>No AI on Explorer/trial tier</t>
        </is>
      </c>
    </row>
    <row r="25">
      <c r="A25" s="18" t="inlineStr">
        <is>
          <t>Creator variable cost</t>
        </is>
      </c>
      <c r="B25" s="19" t="n">
        <v>0.01</v>
      </c>
      <c r="C25" s="20" t="inlineStr">
        <is>
          <t>Storage, bandwidth — no AI on Creator</t>
        </is>
      </c>
    </row>
    <row r="26">
      <c r="A26" s="18" t="inlineStr">
        <is>
          <t>Creator AI cost</t>
        </is>
      </c>
      <c r="B26" s="19" t="n">
        <v>0</v>
      </c>
      <c r="C26" s="20" t="inlineStr">
        <is>
          <t>No AI features on Creator tier</t>
        </is>
      </c>
    </row>
    <row r="27">
      <c r="A27" s="18" t="inlineStr">
        <is>
          <t>Studio variable cost</t>
        </is>
      </c>
      <c r="B27" s="19" t="n">
        <v>0.02</v>
      </c>
      <c r="C27" s="20" t="inlineStr">
        <is>
          <t>Storage + bandwidth</t>
        </is>
      </c>
    </row>
    <row r="28">
      <c r="A28" s="18" t="inlineStr">
        <is>
          <t>Studio AI cost</t>
        </is>
      </c>
      <c r="B28" s="19" t="n">
        <v>0.016</v>
      </c>
      <c r="C28" s="20" t="inlineStr">
        <is>
          <t>40% adoption × 4 vids/mo × £0.01 Haiku per use</t>
        </is>
      </c>
    </row>
    <row r="29">
      <c r="A29" s="18" t="inlineStr">
        <is>
          <t>Enterprise variable cost</t>
        </is>
      </c>
      <c r="B29" s="19" t="n">
        <v>0.04</v>
      </c>
      <c r="C29" s="20" t="inlineStr">
        <is>
          <t>Higher storage &amp; bandwidth</t>
        </is>
      </c>
    </row>
    <row r="30">
      <c r="A30" s="18" t="inlineStr">
        <is>
          <t>Enterprise AI cost</t>
        </is>
      </c>
      <c r="B30" s="19" t="n">
        <v>0.04</v>
      </c>
      <c r="C30" s="20" t="inlineStr">
        <is>
          <t>50% adoption × 8 vids/mo × £0.01 Haiku per use</t>
        </is>
      </c>
    </row>
    <row r="32" ht="18" customHeight="1">
      <c r="A32" s="17" t="inlineStr">
        <is>
          <t>── PAYMENT PROCESSING (paid tiers only) ──</t>
        </is>
      </c>
    </row>
    <row r="33">
      <c r="A33" s="18" t="inlineStr">
        <is>
          <t>Stripe percentage fee</t>
        </is>
      </c>
      <c r="B33" s="25" t="n">
        <v>0.022</v>
      </c>
      <c r="C33" s="20" t="inlineStr">
        <is>
          <t>Stripe 1.5% + Clerk 0.7% overhead — Explorer pays nothing</t>
        </is>
      </c>
    </row>
    <row r="34">
      <c r="A34" s="18" t="inlineStr">
        <is>
          <t>Per-transaction fee (£)</t>
        </is>
      </c>
      <c r="B34" s="19" t="n">
        <v>0.2</v>
      </c>
      <c r="C34" s="20" t="inlineStr">
        <is>
          <t>£0.20 per monthly subscription — not charged on Explorer</t>
        </is>
      </c>
    </row>
    <row r="36" ht="18" customHeight="1">
      <c r="A36" s="17" t="inlineStr">
        <is>
          <t>── CLERK AUTH ──</t>
        </is>
      </c>
    </row>
    <row r="37">
      <c r="A37" s="18" t="inlineStr">
        <is>
          <t>Clerk monthly cost</t>
        </is>
      </c>
      <c r="B37" s="19" t="n">
        <v>0</v>
      </c>
      <c r="C37" s="20" t="inlineStr">
        <is>
          <t>Free up to 10,000 MAU — revisit at scale</t>
        </is>
      </c>
    </row>
    <row r="39" ht="18" customHeight="1">
      <c r="A39" s="17" t="inlineStr">
        <is>
          <t>── BLENDED MIX HELPERS (auto-calculated) ──</t>
        </is>
      </c>
    </row>
    <row r="40">
      <c r="A40" s="22" t="inlineStr">
        <is>
          <t>Blended variable/user (auto)</t>
        </is>
      </c>
      <c r="B40" s="23">
        <f>$B$25*$B$11+$B$27*$B$12+$B$29*$B$13</f>
        <v/>
      </c>
      <c r="C40" s="24" t="inlineStr">
        <is>
          <t>Weighted variable cost across paying tier mix</t>
        </is>
      </c>
    </row>
    <row r="41">
      <c r="A41" s="22" t="inlineStr">
        <is>
          <t>Blended AI cost/user (auto)</t>
        </is>
      </c>
      <c r="B41" s="23">
        <f>$B$26*$B$11+$B$28*$B$12+$B$30*$B$13</f>
        <v/>
      </c>
      <c r="C41" s="24" t="inlineStr">
        <is>
          <t>Weighted AI cost across paying tier mix</t>
        </is>
      </c>
    </row>
    <row r="43" ht="18" customHeight="1">
      <c r="A43" s="17" t="inlineStr">
        <is>
          <t>── NOT YET MODELLED ──</t>
        </is>
      </c>
    </row>
    <row r="44">
      <c r="A44" s="26" t="inlineStr">
        <is>
          <t>Top-up credit revenue</t>
        </is>
      </c>
      <c r="B44" s="27" t="inlineStr">
        <is>
          <t>TBD</t>
        </is>
      </c>
      <c r="C44" s="28" t="inlineStr">
        <is>
          <t>£2.50 per +5 video pack — est. 20% Creator uptake — add when live</t>
        </is>
      </c>
    </row>
    <row r="45">
      <c r="A45" s="26" t="inlineStr">
        <is>
          <t>Feature add-on revenue</t>
        </is>
      </c>
      <c r="B45" s="27" t="inlineStr">
        <is>
          <t>TBD</t>
        </is>
      </c>
      <c r="C45" s="28" t="inlineStr">
        <is>
          <t>Per-feature purchases on Creator — not yet priced</t>
        </is>
      </c>
    </row>
    <row r="46">
      <c r="A46" s="26" t="inlineStr">
        <is>
          <t>Annual plan discount</t>
        </is>
      </c>
      <c r="B46" s="27" t="inlineStr">
        <is>
          <t>TBD</t>
        </is>
      </c>
      <c r="C46" s="28" t="inlineStr">
        <is>
          <t>~15-20% discount for annual pre-pay — future option</t>
        </is>
      </c>
    </row>
    <row r="48" ht="20" customHeight="1">
      <c r="A48" s="14" t="inlineStr">
        <is>
          <t xml:space="preserve">  Yellow cells = editable inputs you can change.   Blue/purple cells = auto-calculated (do not edit).   Orange cells = not yet modelled.</t>
        </is>
      </c>
    </row>
  </sheetData>
  <mergeCells count="11">
    <mergeCell ref="A10:C10"/>
    <mergeCell ref="A36:C36"/>
    <mergeCell ref="A1:C1"/>
    <mergeCell ref="A5:C5"/>
    <mergeCell ref="A2:C2"/>
    <mergeCell ref="A32:C32"/>
    <mergeCell ref="A22:C22"/>
    <mergeCell ref="A39:C39"/>
    <mergeCell ref="A48:C48"/>
    <mergeCell ref="A43:C43"/>
    <mergeCell ref="A16:C16"/>
  </mergeCells>
  <pageMargins left="0.75" right="0.75" top="1" bottom="1" header="0.5" footer="0.5"/>
</worksheet>
</file>

<file path=xl/worksheets/sheet3.xml><?xml version="1.0" encoding="utf-8"?>
<worksheet xmlns="http://schemas.openxmlformats.org/spreadsheetml/2006/main">
  <sheetPr>
    <tabColor rgb="009E9E9E"/>
    <outlinePr summaryBelow="1" summaryRight="1"/>
    <pageSetUpPr/>
  </sheetPr>
  <dimension ref="A1:K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3" customWidth="1" min="4" max="4"/>
    <col width="12" customWidth="1" min="5" max="5"/>
    <col width="12" customWidth="1" min="6" max="6"/>
    <col width="14" customWidth="1" min="7" max="7"/>
    <col width="14" customWidth="1" min="8" max="8"/>
    <col width="10" customWidth="1" min="9" max="9"/>
    <col width="17" customWidth="1" min="10" max="10"/>
    <col width="13" customWidth="1" min="11" max="11"/>
  </cols>
  <sheetData>
    <row r="1" ht="28" customHeight="1">
      <c r="A1" s="29" t="inlineStr">
        <is>
          <t>YT Transcriber — Explorer Tier</t>
        </is>
      </c>
    </row>
    <row r="2" ht="16" customHeight="1">
      <c r="A2" s="2" t="inlineStr">
        <is>
          <t>Free trial — 3 videos total, no revenue, no Stripe fees — shows cost of running free users     |     13 June 2026</t>
        </is>
      </c>
    </row>
    <row r="3" ht="28" customHeight="1">
      <c r="A3" s="30" t="inlineStr">
        <is>
          <t>Users</t>
        </is>
      </c>
      <c r="B3" s="30" t="inlineStr">
        <is>
          <t>Revenue (£)</t>
        </is>
      </c>
      <c r="C3" s="30" t="inlineStr">
        <is>
          <t>Fixed Costs (£)</t>
        </is>
      </c>
      <c r="D3" s="30" t="inlineStr">
        <is>
          <t>Stripe Fees (£)</t>
        </is>
      </c>
      <c r="E3" s="30" t="inlineStr">
        <is>
          <t>Variable (£)</t>
        </is>
      </c>
      <c r="F3" s="30" t="inlineStr">
        <is>
          <t>AI Costs (£)</t>
        </is>
      </c>
      <c r="G3" s="30" t="inlineStr">
        <is>
          <t>Total Costs (£)</t>
        </is>
      </c>
      <c r="H3" s="30" t="inlineStr">
        <is>
          <t>Net Profit (£)</t>
        </is>
      </c>
      <c r="I3" s="30" t="inlineStr">
        <is>
          <t>Margin (%)</t>
        </is>
      </c>
      <c r="J3" s="30" t="inlineStr">
        <is>
          <t>Annual Run Rate (£)</t>
        </is>
      </c>
      <c r="K3" s="30" t="inlineStr">
        <is>
          <t>Status</t>
        </is>
      </c>
    </row>
    <row r="4">
      <c r="A4" s="5" t="n">
        <v>1</v>
      </c>
      <c r="B4" s="6">
        <f>0</f>
        <v/>
      </c>
      <c r="C4" s="6">
        <f>Assumptions!$B$20</f>
        <v/>
      </c>
      <c r="D4" s="6">
        <f>0</f>
        <v/>
      </c>
      <c r="E4" s="6">
        <f>A4*Assumptions!$B$23</f>
        <v/>
      </c>
      <c r="F4" s="6">
        <f>A4*Assumptions!$B$24</f>
        <v/>
      </c>
      <c r="G4" s="6">
        <f>C4+D4+E4+F4</f>
        <v/>
      </c>
      <c r="H4" s="7">
        <f>B4-G4</f>
        <v/>
      </c>
      <c r="I4" s="8">
        <f>IF(B4&gt;0,H4/B4,0)</f>
        <v/>
      </c>
      <c r="J4" s="9">
        <f>H4*12</f>
        <v/>
      </c>
      <c r="K4" s="10">
        <f>IF(H4&lt;0,"Loss",IF(H4&lt;20,"Break-even",IF(H4&lt;500,"Growing","Profitable")))</f>
        <v/>
      </c>
    </row>
    <row r="5">
      <c r="A5" s="11" t="n">
        <v>5</v>
      </c>
      <c r="B5" s="12">
        <f>0</f>
        <v/>
      </c>
      <c r="C5" s="12">
        <f>Assumptions!$B$20</f>
        <v/>
      </c>
      <c r="D5" s="12">
        <f>0</f>
        <v/>
      </c>
      <c r="E5" s="12">
        <f>A5*Assumptions!$B$23</f>
        <v/>
      </c>
      <c r="F5" s="12">
        <f>A5*Assumptions!$B$24</f>
        <v/>
      </c>
      <c r="G5" s="12">
        <f>C5+D5+E5+F5</f>
        <v/>
      </c>
      <c r="H5" s="7">
        <f>B5-G5</f>
        <v/>
      </c>
      <c r="I5" s="13">
        <f>IF(B5&gt;0,H5/B5,0)</f>
        <v/>
      </c>
      <c r="J5" s="9">
        <f>H5*12</f>
        <v/>
      </c>
      <c r="K5" s="10">
        <f>IF(H5&lt;0,"Loss",IF(H5&lt;20,"Break-even",IF(H5&lt;500,"Growing","Profitable")))</f>
        <v/>
      </c>
    </row>
    <row r="6">
      <c r="A6" s="5" t="n">
        <v>10</v>
      </c>
      <c r="B6" s="6">
        <f>0</f>
        <v/>
      </c>
      <c r="C6" s="6">
        <f>Assumptions!$B$20</f>
        <v/>
      </c>
      <c r="D6" s="6">
        <f>0</f>
        <v/>
      </c>
      <c r="E6" s="6">
        <f>A6*Assumptions!$B$23</f>
        <v/>
      </c>
      <c r="F6" s="6">
        <f>A6*Assumptions!$B$24</f>
        <v/>
      </c>
      <c r="G6" s="6">
        <f>C6+D6+E6+F6</f>
        <v/>
      </c>
      <c r="H6" s="7">
        <f>B6-G6</f>
        <v/>
      </c>
      <c r="I6" s="8">
        <f>IF(B6&gt;0,H6/B6,0)</f>
        <v/>
      </c>
      <c r="J6" s="9">
        <f>H6*12</f>
        <v/>
      </c>
      <c r="K6" s="10">
        <f>IF(H6&lt;0,"Loss",IF(H6&lt;20,"Break-even",IF(H6&lt;500,"Growing","Profitable")))</f>
        <v/>
      </c>
    </row>
    <row r="7">
      <c r="A7" s="11" t="n">
        <v>15</v>
      </c>
      <c r="B7" s="12">
        <f>0</f>
        <v/>
      </c>
      <c r="C7" s="12">
        <f>Assumptions!$B$20</f>
        <v/>
      </c>
      <c r="D7" s="12">
        <f>0</f>
        <v/>
      </c>
      <c r="E7" s="12">
        <f>A7*Assumptions!$B$23</f>
        <v/>
      </c>
      <c r="F7" s="12">
        <f>A7*Assumptions!$B$24</f>
        <v/>
      </c>
      <c r="G7" s="12">
        <f>C7+D7+E7+F7</f>
        <v/>
      </c>
      <c r="H7" s="7">
        <f>B7-G7</f>
        <v/>
      </c>
      <c r="I7" s="13">
        <f>IF(B7&gt;0,H7/B7,0)</f>
        <v/>
      </c>
      <c r="J7" s="9">
        <f>H7*12</f>
        <v/>
      </c>
      <c r="K7" s="10">
        <f>IF(H7&lt;0,"Loss",IF(H7&lt;20,"Break-even",IF(H7&lt;500,"Growing","Profitable")))</f>
        <v/>
      </c>
    </row>
    <row r="8">
      <c r="A8" s="5" t="n">
        <v>20</v>
      </c>
      <c r="B8" s="6">
        <f>0</f>
        <v/>
      </c>
      <c r="C8" s="6">
        <f>Assumptions!$B$20</f>
        <v/>
      </c>
      <c r="D8" s="6">
        <f>0</f>
        <v/>
      </c>
      <c r="E8" s="6">
        <f>A8*Assumptions!$B$23</f>
        <v/>
      </c>
      <c r="F8" s="6">
        <f>A8*Assumptions!$B$24</f>
        <v/>
      </c>
      <c r="G8" s="6">
        <f>C8+D8+E8+F8</f>
        <v/>
      </c>
      <c r="H8" s="7">
        <f>B8-G8</f>
        <v/>
      </c>
      <c r="I8" s="8">
        <f>IF(B8&gt;0,H8/B8,0)</f>
        <v/>
      </c>
      <c r="J8" s="9">
        <f>H8*12</f>
        <v/>
      </c>
      <c r="K8" s="10">
        <f>IF(H8&lt;0,"Loss",IF(H8&lt;20,"Break-even",IF(H8&lt;500,"Growing","Profitable")))</f>
        <v/>
      </c>
    </row>
    <row r="9">
      <c r="A9" s="11" t="n">
        <v>50</v>
      </c>
      <c r="B9" s="12">
        <f>0</f>
        <v/>
      </c>
      <c r="C9" s="12">
        <f>Assumptions!$B$20</f>
        <v/>
      </c>
      <c r="D9" s="12">
        <f>0</f>
        <v/>
      </c>
      <c r="E9" s="12">
        <f>A9*Assumptions!$B$23</f>
        <v/>
      </c>
      <c r="F9" s="12">
        <f>A9*Assumptions!$B$24</f>
        <v/>
      </c>
      <c r="G9" s="12">
        <f>C9+D9+E9+F9</f>
        <v/>
      </c>
      <c r="H9" s="7">
        <f>B9-G9</f>
        <v/>
      </c>
      <c r="I9" s="13">
        <f>IF(B9&gt;0,H9/B9,0)</f>
        <v/>
      </c>
      <c r="J9" s="9">
        <f>H9*12</f>
        <v/>
      </c>
      <c r="K9" s="10">
        <f>IF(H9&lt;0,"Loss",IF(H9&lt;20,"Break-even",IF(H9&lt;500,"Growing","Profitable")))</f>
        <v/>
      </c>
    </row>
    <row r="10">
      <c r="A10" s="5" t="n">
        <v>100</v>
      </c>
      <c r="B10" s="6">
        <f>0</f>
        <v/>
      </c>
      <c r="C10" s="6">
        <f>Assumptions!$B$20</f>
        <v/>
      </c>
      <c r="D10" s="6">
        <f>0</f>
        <v/>
      </c>
      <c r="E10" s="6">
        <f>A10*Assumptions!$B$23</f>
        <v/>
      </c>
      <c r="F10" s="6">
        <f>A10*Assumptions!$B$24</f>
        <v/>
      </c>
      <c r="G10" s="6">
        <f>C10+D10+E10+F10</f>
        <v/>
      </c>
      <c r="H10" s="7">
        <f>B10-G10</f>
        <v/>
      </c>
      <c r="I10" s="8">
        <f>IF(B10&gt;0,H10/B10,0)</f>
        <v/>
      </c>
      <c r="J10" s="9">
        <f>H10*12</f>
        <v/>
      </c>
      <c r="K10" s="10">
        <f>IF(H10&lt;0,"Loss",IF(H10&lt;20,"Break-even",IF(H10&lt;500,"Growing","Profitable")))</f>
        <v/>
      </c>
    </row>
    <row r="11">
      <c r="A11" s="11" t="n">
        <v>200</v>
      </c>
      <c r="B11" s="12">
        <f>0</f>
        <v/>
      </c>
      <c r="C11" s="12">
        <f>Assumptions!$B$20</f>
        <v/>
      </c>
      <c r="D11" s="12">
        <f>0</f>
        <v/>
      </c>
      <c r="E11" s="12">
        <f>A11*Assumptions!$B$23</f>
        <v/>
      </c>
      <c r="F11" s="12">
        <f>A11*Assumptions!$B$24</f>
        <v/>
      </c>
      <c r="G11" s="12">
        <f>C11+D11+E11+F11</f>
        <v/>
      </c>
      <c r="H11" s="7">
        <f>B11-G11</f>
        <v/>
      </c>
      <c r="I11" s="13">
        <f>IF(B11&gt;0,H11/B11,0)</f>
        <v/>
      </c>
      <c r="J11" s="9">
        <f>H11*12</f>
        <v/>
      </c>
      <c r="K11" s="10">
        <f>IF(H11&lt;0,"Loss",IF(H11&lt;20,"Break-even",IF(H11&lt;500,"Growing","Profitable")))</f>
        <v/>
      </c>
    </row>
    <row r="12">
      <c r="A12" s="5" t="n">
        <v>500</v>
      </c>
      <c r="B12" s="6">
        <f>0</f>
        <v/>
      </c>
      <c r="C12" s="6">
        <f>Assumptions!$B$20</f>
        <v/>
      </c>
      <c r="D12" s="6">
        <f>0</f>
        <v/>
      </c>
      <c r="E12" s="6">
        <f>A12*Assumptions!$B$23</f>
        <v/>
      </c>
      <c r="F12" s="6">
        <f>A12*Assumptions!$B$24</f>
        <v/>
      </c>
      <c r="G12" s="6">
        <f>C12+D12+E12+F12</f>
        <v/>
      </c>
      <c r="H12" s="7">
        <f>B12-G12</f>
        <v/>
      </c>
      <c r="I12" s="8">
        <f>IF(B12&gt;0,H12/B12,0)</f>
        <v/>
      </c>
      <c r="J12" s="9">
        <f>H12*12</f>
        <v/>
      </c>
      <c r="K12" s="10">
        <f>IF(H12&lt;0,"Loss",IF(H12&lt;20,"Break-even",IF(H12&lt;500,"Growing","Profitable")))</f>
        <v/>
      </c>
    </row>
    <row r="13">
      <c r="A13" s="11" t="n">
        <v>1000</v>
      </c>
      <c r="B13" s="12">
        <f>0</f>
        <v/>
      </c>
      <c r="C13" s="12">
        <f>Assumptions!$B$20</f>
        <v/>
      </c>
      <c r="D13" s="12">
        <f>0</f>
        <v/>
      </c>
      <c r="E13" s="12">
        <f>A13*Assumptions!$B$23</f>
        <v/>
      </c>
      <c r="F13" s="12">
        <f>A13*Assumptions!$B$24</f>
        <v/>
      </c>
      <c r="G13" s="12">
        <f>C13+D13+E13+F13</f>
        <v/>
      </c>
      <c r="H13" s="7">
        <f>B13-G13</f>
        <v/>
      </c>
      <c r="I13" s="13">
        <f>IF(B13&gt;0,H13/B13,0)</f>
        <v/>
      </c>
      <c r="J13" s="9">
        <f>H13*12</f>
        <v/>
      </c>
      <c r="K13" s="10">
        <f>IF(H13&lt;0,"Loss",IF(H13&lt;20,"Break-even",IF(H13&lt;500,"Growing","Profitable")))</f>
        <v/>
      </c>
    </row>
    <row r="14">
      <c r="A14" s="5" t="n">
        <v>2000</v>
      </c>
      <c r="B14" s="6">
        <f>0</f>
        <v/>
      </c>
      <c r="C14" s="6">
        <f>Assumptions!$B$20</f>
        <v/>
      </c>
      <c r="D14" s="6">
        <f>0</f>
        <v/>
      </c>
      <c r="E14" s="6">
        <f>A14*Assumptions!$B$23</f>
        <v/>
      </c>
      <c r="F14" s="6">
        <f>A14*Assumptions!$B$24</f>
        <v/>
      </c>
      <c r="G14" s="6">
        <f>C14+D14+E14+F14</f>
        <v/>
      </c>
      <c r="H14" s="7">
        <f>B14-G14</f>
        <v/>
      </c>
      <c r="I14" s="8">
        <f>IF(B14&gt;0,H14/B14,0)</f>
        <v/>
      </c>
      <c r="J14" s="9">
        <f>H14*12</f>
        <v/>
      </c>
      <c r="K14" s="10">
        <f>IF(H14&lt;0,"Loss",IF(H14&lt;20,"Break-even",IF(H14&lt;500,"Growing","Profitable")))</f>
        <v/>
      </c>
    </row>
    <row r="15">
      <c r="A15" s="11" t="n">
        <v>5000</v>
      </c>
      <c r="B15" s="12">
        <f>0</f>
        <v/>
      </c>
      <c r="C15" s="12">
        <f>Assumptions!$B$20</f>
        <v/>
      </c>
      <c r="D15" s="12">
        <f>0</f>
        <v/>
      </c>
      <c r="E15" s="12">
        <f>A15*Assumptions!$B$23</f>
        <v/>
      </c>
      <c r="F15" s="12">
        <f>A15*Assumptions!$B$24</f>
        <v/>
      </c>
      <c r="G15" s="12">
        <f>C15+D15+E15+F15</f>
        <v/>
      </c>
      <c r="H15" s="7">
        <f>B15-G15</f>
        <v/>
      </c>
      <c r="I15" s="13">
        <f>IF(B15&gt;0,H15/B15,0)</f>
        <v/>
      </c>
      <c r="J15" s="9">
        <f>H15*12</f>
        <v/>
      </c>
      <c r="K15" s="10">
        <f>IF(H15&lt;0,"Loss",IF(H15&lt;20,"Break-even",IF(H15&lt;500,"Growing","Profitable")))</f>
        <v/>
      </c>
    </row>
    <row r="17" ht="32" customHeight="1">
      <c r="A17" s="14" t="inlineStr">
        <is>
          <t>Explorer is the free trial tier — Revenue and Stripe fees are always £0. Fixed infrastructure costs still apply. This section shows the net cost of running free/trial users. Variable cost per user reflects storage &amp; bandwidth for up to 3 trial video transcriptions.</t>
        </is>
      </c>
    </row>
  </sheetData>
  <mergeCells count="3">
    <mergeCell ref="A2:K2"/>
    <mergeCell ref="A1:K1"/>
    <mergeCell ref="A17:K17"/>
  </mergeCells>
  <conditionalFormatting sqref="H4:H15">
    <cfRule type="cellIs" priority="1" operator="lessThan" dxfId="0">
      <formula>0</formula>
    </cfRule>
    <cfRule type="cellIs" priority="2" operator="greaterThanOrEqual" dxfId="1">
      <formula>0</formula>
    </cfRule>
  </conditionalFormatting>
  <conditionalFormatting sqref="J4:J15">
    <cfRule type="cellIs" priority="3" operator="lessThan" dxfId="0">
      <formula>0</formula>
    </cfRule>
    <cfRule type="cellIs" priority="4" operator="greaterThanOrEqual" dxfId="1">
      <formula>0</formula>
    </cfRule>
  </conditionalFormatting>
  <conditionalFormatting sqref="I4:I15">
    <cfRule type="cellIs" priority="5" operator="lessThan" dxfId="0">
      <formula>0</formula>
    </cfRule>
    <cfRule type="cellIs" priority="6" operator="between" dxfId="2">
      <formula>0</formula>
      <formula>0.2</formula>
    </cfRule>
    <cfRule type="cellIs" priority="7" operator="greaterThanOrEqual" dxfId="1">
      <formula>0.2</formula>
    </cfRule>
  </conditionalFormatting>
  <conditionalFormatting sqref="K4:K15">
    <cfRule type="expression" priority="8" dxfId="0">
      <formula>K4="Loss"</formula>
    </cfRule>
    <cfRule type="expression" priority="9" dxfId="2">
      <formula>K4="Break-even"</formula>
    </cfRule>
    <cfRule type="expression" priority="10" dxfId="1">
      <formula>K4="Growing"</formula>
    </cfRule>
    <cfRule type="expression" priority="11" dxfId="1">
      <formula>K4="Profitable"</formula>
    </cfRule>
  </conditionalFormatting>
  <pageMargins left="0.75" right="0.75" top="1" bottom="1" header="0.5" footer="0.5"/>
</worksheet>
</file>

<file path=xl/worksheets/sheet4.xml><?xml version="1.0" encoding="utf-8"?>
<worksheet xmlns="http://schemas.openxmlformats.org/spreadsheetml/2006/main">
  <sheetPr>
    <tabColor rgb="004FC3F7"/>
    <outlinePr summaryBelow="1" summaryRight="1"/>
    <pageSetUpPr/>
  </sheetPr>
  <dimension ref="A1:K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3" customWidth="1" min="4" max="4"/>
    <col width="12" customWidth="1" min="5" max="5"/>
    <col width="12" customWidth="1" min="6" max="6"/>
    <col width="14" customWidth="1" min="7" max="7"/>
    <col width="14" customWidth="1" min="8" max="8"/>
    <col width="10" customWidth="1" min="9" max="9"/>
    <col width="17" customWidth="1" min="10" max="10"/>
    <col width="13" customWidth="1" min="11" max="11"/>
  </cols>
  <sheetData>
    <row r="1" ht="28" customHeight="1">
      <c r="A1" s="29" t="inlineStr">
        <is>
          <t>YT Transcriber — Creator Tier</t>
        </is>
      </c>
    </row>
    <row r="2" ht="16" customHeight="1">
      <c r="A2" s="2" t="inlineStr">
        <is>
          <t>Entry paid tier — 15 videos/mo, core transcript features, no AI, no screenshots in ZIP     |     13 June 2026</t>
        </is>
      </c>
    </row>
    <row r="3" ht="28" customHeight="1">
      <c r="A3" s="30" t="inlineStr">
        <is>
          <t>Users</t>
        </is>
      </c>
      <c r="B3" s="30" t="inlineStr">
        <is>
          <t>Revenue (£)</t>
        </is>
      </c>
      <c r="C3" s="30" t="inlineStr">
        <is>
          <t>Fixed Costs (£)</t>
        </is>
      </c>
      <c r="D3" s="30" t="inlineStr">
        <is>
          <t>Stripe Fees (£)</t>
        </is>
      </c>
      <c r="E3" s="30" t="inlineStr">
        <is>
          <t>Variable (£)</t>
        </is>
      </c>
      <c r="F3" s="30" t="inlineStr">
        <is>
          <t>AI Costs (£)</t>
        </is>
      </c>
      <c r="G3" s="30" t="inlineStr">
        <is>
          <t>Total Costs (£)</t>
        </is>
      </c>
      <c r="H3" s="30" t="inlineStr">
        <is>
          <t>Net Profit (£)</t>
        </is>
      </c>
      <c r="I3" s="30" t="inlineStr">
        <is>
          <t>Margin (%)</t>
        </is>
      </c>
      <c r="J3" s="30" t="inlineStr">
        <is>
          <t>Annual Run Rate (£)</t>
        </is>
      </c>
      <c r="K3" s="30" t="inlineStr">
        <is>
          <t>Status</t>
        </is>
      </c>
    </row>
    <row r="4">
      <c r="A4" s="5" t="n">
        <v>1</v>
      </c>
      <c r="B4" s="6">
        <f>A4*Assumptions!$B$6</f>
        <v/>
      </c>
      <c r="C4" s="6">
        <f>Assumptions!$B$20</f>
        <v/>
      </c>
      <c r="D4" s="6">
        <f>B4*Assumptions!$B$33+A4*Assumptions!$B$34</f>
        <v/>
      </c>
      <c r="E4" s="6">
        <f>A4*Assumptions!$B$25</f>
        <v/>
      </c>
      <c r="F4" s="6">
        <f>A4*Assumptions!$B$26</f>
        <v/>
      </c>
      <c r="G4" s="6">
        <f>C4+D4+E4+F4</f>
        <v/>
      </c>
      <c r="H4" s="7">
        <f>B4-G4</f>
        <v/>
      </c>
      <c r="I4" s="8">
        <f>IF(B4&gt;0,H4/B4,0)</f>
        <v/>
      </c>
      <c r="J4" s="9">
        <f>H4*12</f>
        <v/>
      </c>
      <c r="K4" s="10">
        <f>IF(H4&lt;0,"Loss",IF(H4&lt;20,"Break-even",IF(H4&lt;500,"Growing","Profitable")))</f>
        <v/>
      </c>
    </row>
    <row r="5">
      <c r="A5" s="11" t="n">
        <v>5</v>
      </c>
      <c r="B5" s="12">
        <f>A5*Assumptions!$B$6</f>
        <v/>
      </c>
      <c r="C5" s="12">
        <f>Assumptions!$B$20</f>
        <v/>
      </c>
      <c r="D5" s="12">
        <f>B5*Assumptions!$B$33+A5*Assumptions!$B$34</f>
        <v/>
      </c>
      <c r="E5" s="12">
        <f>A5*Assumptions!$B$25</f>
        <v/>
      </c>
      <c r="F5" s="12">
        <f>A5*Assumptions!$B$26</f>
        <v/>
      </c>
      <c r="G5" s="12">
        <f>C5+D5+E5+F5</f>
        <v/>
      </c>
      <c r="H5" s="7">
        <f>B5-G5</f>
        <v/>
      </c>
      <c r="I5" s="13">
        <f>IF(B5&gt;0,H5/B5,0)</f>
        <v/>
      </c>
      <c r="J5" s="9">
        <f>H5*12</f>
        <v/>
      </c>
      <c r="K5" s="10">
        <f>IF(H5&lt;0,"Loss",IF(H5&lt;20,"Break-even",IF(H5&lt;500,"Growing","Profitable")))</f>
        <v/>
      </c>
    </row>
    <row r="6">
      <c r="A6" s="5" t="n">
        <v>10</v>
      </c>
      <c r="B6" s="6">
        <f>A6*Assumptions!$B$6</f>
        <v/>
      </c>
      <c r="C6" s="6">
        <f>Assumptions!$B$20</f>
        <v/>
      </c>
      <c r="D6" s="6">
        <f>B6*Assumptions!$B$33+A6*Assumptions!$B$34</f>
        <v/>
      </c>
      <c r="E6" s="6">
        <f>A6*Assumptions!$B$25</f>
        <v/>
      </c>
      <c r="F6" s="6">
        <f>A6*Assumptions!$B$26</f>
        <v/>
      </c>
      <c r="G6" s="6">
        <f>C6+D6+E6+F6</f>
        <v/>
      </c>
      <c r="H6" s="7">
        <f>B6-G6</f>
        <v/>
      </c>
      <c r="I6" s="8">
        <f>IF(B6&gt;0,H6/B6,0)</f>
        <v/>
      </c>
      <c r="J6" s="9">
        <f>H6*12</f>
        <v/>
      </c>
      <c r="K6" s="10">
        <f>IF(H6&lt;0,"Loss",IF(H6&lt;20,"Break-even",IF(H6&lt;500,"Growing","Profitable")))</f>
        <v/>
      </c>
    </row>
    <row r="7">
      <c r="A7" s="11" t="n">
        <v>15</v>
      </c>
      <c r="B7" s="12">
        <f>A7*Assumptions!$B$6</f>
        <v/>
      </c>
      <c r="C7" s="12">
        <f>Assumptions!$B$20</f>
        <v/>
      </c>
      <c r="D7" s="12">
        <f>B7*Assumptions!$B$33+A7*Assumptions!$B$34</f>
        <v/>
      </c>
      <c r="E7" s="12">
        <f>A7*Assumptions!$B$25</f>
        <v/>
      </c>
      <c r="F7" s="12">
        <f>A7*Assumptions!$B$26</f>
        <v/>
      </c>
      <c r="G7" s="12">
        <f>C7+D7+E7+F7</f>
        <v/>
      </c>
      <c r="H7" s="7">
        <f>B7-G7</f>
        <v/>
      </c>
      <c r="I7" s="13">
        <f>IF(B7&gt;0,H7/B7,0)</f>
        <v/>
      </c>
      <c r="J7" s="9">
        <f>H7*12</f>
        <v/>
      </c>
      <c r="K7" s="10">
        <f>IF(H7&lt;0,"Loss",IF(H7&lt;20,"Break-even",IF(H7&lt;500,"Growing","Profitable")))</f>
        <v/>
      </c>
    </row>
    <row r="8">
      <c r="A8" s="5" t="n">
        <v>20</v>
      </c>
      <c r="B8" s="6">
        <f>A8*Assumptions!$B$6</f>
        <v/>
      </c>
      <c r="C8" s="6">
        <f>Assumptions!$B$20</f>
        <v/>
      </c>
      <c r="D8" s="6">
        <f>B8*Assumptions!$B$33+A8*Assumptions!$B$34</f>
        <v/>
      </c>
      <c r="E8" s="6">
        <f>A8*Assumptions!$B$25</f>
        <v/>
      </c>
      <c r="F8" s="6">
        <f>A8*Assumptions!$B$26</f>
        <v/>
      </c>
      <c r="G8" s="6">
        <f>C8+D8+E8+F8</f>
        <v/>
      </c>
      <c r="H8" s="7">
        <f>B8-G8</f>
        <v/>
      </c>
      <c r="I8" s="8">
        <f>IF(B8&gt;0,H8/B8,0)</f>
        <v/>
      </c>
      <c r="J8" s="9">
        <f>H8*12</f>
        <v/>
      </c>
      <c r="K8" s="10">
        <f>IF(H8&lt;0,"Loss",IF(H8&lt;20,"Break-even",IF(H8&lt;500,"Growing","Profitable")))</f>
        <v/>
      </c>
    </row>
    <row r="9">
      <c r="A9" s="11" t="n">
        <v>50</v>
      </c>
      <c r="B9" s="12">
        <f>A9*Assumptions!$B$6</f>
        <v/>
      </c>
      <c r="C9" s="12">
        <f>Assumptions!$B$20</f>
        <v/>
      </c>
      <c r="D9" s="12">
        <f>B9*Assumptions!$B$33+A9*Assumptions!$B$34</f>
        <v/>
      </c>
      <c r="E9" s="12">
        <f>A9*Assumptions!$B$25</f>
        <v/>
      </c>
      <c r="F9" s="12">
        <f>A9*Assumptions!$B$26</f>
        <v/>
      </c>
      <c r="G9" s="12">
        <f>C9+D9+E9+F9</f>
        <v/>
      </c>
      <c r="H9" s="7">
        <f>B9-G9</f>
        <v/>
      </c>
      <c r="I9" s="13">
        <f>IF(B9&gt;0,H9/B9,0)</f>
        <v/>
      </c>
      <c r="J9" s="9">
        <f>H9*12</f>
        <v/>
      </c>
      <c r="K9" s="10">
        <f>IF(H9&lt;0,"Loss",IF(H9&lt;20,"Break-even",IF(H9&lt;500,"Growing","Profitable")))</f>
        <v/>
      </c>
    </row>
    <row r="10">
      <c r="A10" s="5" t="n">
        <v>100</v>
      </c>
      <c r="B10" s="6">
        <f>A10*Assumptions!$B$6</f>
        <v/>
      </c>
      <c r="C10" s="6">
        <f>Assumptions!$B$20</f>
        <v/>
      </c>
      <c r="D10" s="6">
        <f>B10*Assumptions!$B$33+A10*Assumptions!$B$34</f>
        <v/>
      </c>
      <c r="E10" s="6">
        <f>A10*Assumptions!$B$25</f>
        <v/>
      </c>
      <c r="F10" s="6">
        <f>A10*Assumptions!$B$26</f>
        <v/>
      </c>
      <c r="G10" s="6">
        <f>C10+D10+E10+F10</f>
        <v/>
      </c>
      <c r="H10" s="7">
        <f>B10-G10</f>
        <v/>
      </c>
      <c r="I10" s="8">
        <f>IF(B10&gt;0,H10/B10,0)</f>
        <v/>
      </c>
      <c r="J10" s="9">
        <f>H10*12</f>
        <v/>
      </c>
      <c r="K10" s="10">
        <f>IF(H10&lt;0,"Loss",IF(H10&lt;20,"Break-even",IF(H10&lt;500,"Growing","Profitable")))</f>
        <v/>
      </c>
    </row>
    <row r="11">
      <c r="A11" s="11" t="n">
        <v>200</v>
      </c>
      <c r="B11" s="12">
        <f>A11*Assumptions!$B$6</f>
        <v/>
      </c>
      <c r="C11" s="12">
        <f>Assumptions!$B$20</f>
        <v/>
      </c>
      <c r="D11" s="12">
        <f>B11*Assumptions!$B$33+A11*Assumptions!$B$34</f>
        <v/>
      </c>
      <c r="E11" s="12">
        <f>A11*Assumptions!$B$25</f>
        <v/>
      </c>
      <c r="F11" s="12">
        <f>A11*Assumptions!$B$26</f>
        <v/>
      </c>
      <c r="G11" s="12">
        <f>C11+D11+E11+F11</f>
        <v/>
      </c>
      <c r="H11" s="7">
        <f>B11-G11</f>
        <v/>
      </c>
      <c r="I11" s="13">
        <f>IF(B11&gt;0,H11/B11,0)</f>
        <v/>
      </c>
      <c r="J11" s="9">
        <f>H11*12</f>
        <v/>
      </c>
      <c r="K11" s="10">
        <f>IF(H11&lt;0,"Loss",IF(H11&lt;20,"Break-even",IF(H11&lt;500,"Growing","Profitable")))</f>
        <v/>
      </c>
    </row>
    <row r="12">
      <c r="A12" s="5" t="n">
        <v>500</v>
      </c>
      <c r="B12" s="6">
        <f>A12*Assumptions!$B$6</f>
        <v/>
      </c>
      <c r="C12" s="6">
        <f>Assumptions!$B$20</f>
        <v/>
      </c>
      <c r="D12" s="6">
        <f>B12*Assumptions!$B$33+A12*Assumptions!$B$34</f>
        <v/>
      </c>
      <c r="E12" s="6">
        <f>A12*Assumptions!$B$25</f>
        <v/>
      </c>
      <c r="F12" s="6">
        <f>A12*Assumptions!$B$26</f>
        <v/>
      </c>
      <c r="G12" s="6">
        <f>C12+D12+E12+F12</f>
        <v/>
      </c>
      <c r="H12" s="7">
        <f>B12-G12</f>
        <v/>
      </c>
      <c r="I12" s="8">
        <f>IF(B12&gt;0,H12/B12,0)</f>
        <v/>
      </c>
      <c r="J12" s="9">
        <f>H12*12</f>
        <v/>
      </c>
      <c r="K12" s="10">
        <f>IF(H12&lt;0,"Loss",IF(H12&lt;20,"Break-even",IF(H12&lt;500,"Growing","Profitable")))</f>
        <v/>
      </c>
    </row>
    <row r="13">
      <c r="A13" s="11" t="n">
        <v>1000</v>
      </c>
      <c r="B13" s="12">
        <f>A13*Assumptions!$B$6</f>
        <v/>
      </c>
      <c r="C13" s="12">
        <f>Assumptions!$B$20</f>
        <v/>
      </c>
      <c r="D13" s="12">
        <f>B13*Assumptions!$B$33+A13*Assumptions!$B$34</f>
        <v/>
      </c>
      <c r="E13" s="12">
        <f>A13*Assumptions!$B$25</f>
        <v/>
      </c>
      <c r="F13" s="12">
        <f>A13*Assumptions!$B$26</f>
        <v/>
      </c>
      <c r="G13" s="12">
        <f>C13+D13+E13+F13</f>
        <v/>
      </c>
      <c r="H13" s="7">
        <f>B13-G13</f>
        <v/>
      </c>
      <c r="I13" s="13">
        <f>IF(B13&gt;0,H13/B13,0)</f>
        <v/>
      </c>
      <c r="J13" s="9">
        <f>H13*12</f>
        <v/>
      </c>
      <c r="K13" s="10">
        <f>IF(H13&lt;0,"Loss",IF(H13&lt;20,"Break-even",IF(H13&lt;500,"Growing","Profitable")))</f>
        <v/>
      </c>
    </row>
    <row r="14">
      <c r="A14" s="5" t="n">
        <v>2000</v>
      </c>
      <c r="B14" s="6">
        <f>A14*Assumptions!$B$6</f>
        <v/>
      </c>
      <c r="C14" s="6">
        <f>Assumptions!$B$20</f>
        <v/>
      </c>
      <c r="D14" s="6">
        <f>B14*Assumptions!$B$33+A14*Assumptions!$B$34</f>
        <v/>
      </c>
      <c r="E14" s="6">
        <f>A14*Assumptions!$B$25</f>
        <v/>
      </c>
      <c r="F14" s="6">
        <f>A14*Assumptions!$B$26</f>
        <v/>
      </c>
      <c r="G14" s="6">
        <f>C14+D14+E14+F14</f>
        <v/>
      </c>
      <c r="H14" s="7">
        <f>B14-G14</f>
        <v/>
      </c>
      <c r="I14" s="8">
        <f>IF(B14&gt;0,H14/B14,0)</f>
        <v/>
      </c>
      <c r="J14" s="9">
        <f>H14*12</f>
        <v/>
      </c>
      <c r="K14" s="10">
        <f>IF(H14&lt;0,"Loss",IF(H14&lt;20,"Break-even",IF(H14&lt;500,"Growing","Profitable")))</f>
        <v/>
      </c>
    </row>
    <row r="15">
      <c r="A15" s="11" t="n">
        <v>5000</v>
      </c>
      <c r="B15" s="12">
        <f>A15*Assumptions!$B$6</f>
        <v/>
      </c>
      <c r="C15" s="12">
        <f>Assumptions!$B$20</f>
        <v/>
      </c>
      <c r="D15" s="12">
        <f>B15*Assumptions!$B$33+A15*Assumptions!$B$34</f>
        <v/>
      </c>
      <c r="E15" s="12">
        <f>A15*Assumptions!$B$25</f>
        <v/>
      </c>
      <c r="F15" s="12">
        <f>A15*Assumptions!$B$26</f>
        <v/>
      </c>
      <c r="G15" s="12">
        <f>C15+D15+E15+F15</f>
        <v/>
      </c>
      <c r="H15" s="7">
        <f>B15-G15</f>
        <v/>
      </c>
      <c r="I15" s="13">
        <f>IF(B15&gt;0,H15/B15,0)</f>
        <v/>
      </c>
      <c r="J15" s="9">
        <f>H15*12</f>
        <v/>
      </c>
      <c r="K15" s="10">
        <f>IF(H15&lt;0,"Loss",IF(H15&lt;20,"Break-even",IF(H15&lt;500,"Growing","Profitable")))</f>
        <v/>
      </c>
    </row>
    <row r="17" ht="32" customHeight="1">
      <c r="A17" s="14" t="inlineStr">
        <is>
          <t>All values driven by Assumptions sheet. Edit yellow input cells there and this sheet updates automatically. Fixed costs are shared infrastructure costs that apply regardless of how many users are on this tier.</t>
        </is>
      </c>
    </row>
  </sheetData>
  <mergeCells count="3">
    <mergeCell ref="A2:K2"/>
    <mergeCell ref="A1:K1"/>
    <mergeCell ref="A17:K17"/>
  </mergeCells>
  <conditionalFormatting sqref="H4:H15">
    <cfRule type="cellIs" priority="1" operator="lessThan" dxfId="0">
      <formula>0</formula>
    </cfRule>
    <cfRule type="cellIs" priority="2" operator="greaterThanOrEqual" dxfId="1">
      <formula>0</formula>
    </cfRule>
  </conditionalFormatting>
  <conditionalFormatting sqref="J4:J15">
    <cfRule type="cellIs" priority="3" operator="lessThan" dxfId="0">
      <formula>0</formula>
    </cfRule>
    <cfRule type="cellIs" priority="4" operator="greaterThanOrEqual" dxfId="1">
      <formula>0</formula>
    </cfRule>
  </conditionalFormatting>
  <conditionalFormatting sqref="I4:I15">
    <cfRule type="cellIs" priority="5" operator="lessThan" dxfId="0">
      <formula>0</formula>
    </cfRule>
    <cfRule type="cellIs" priority="6" operator="between" dxfId="2">
      <formula>0</formula>
      <formula>0.2</formula>
    </cfRule>
    <cfRule type="cellIs" priority="7" operator="greaterThanOrEqual" dxfId="1">
      <formula>0.2</formula>
    </cfRule>
  </conditionalFormatting>
  <conditionalFormatting sqref="K4:K15">
    <cfRule type="expression" priority="8" dxfId="0">
      <formula>K4="Loss"</formula>
    </cfRule>
    <cfRule type="expression" priority="9" dxfId="2">
      <formula>K4="Break-even"</formula>
    </cfRule>
    <cfRule type="expression" priority="10" dxfId="1">
      <formula>K4="Growing"</formula>
    </cfRule>
    <cfRule type="expression" priority="11" dxfId="1">
      <formula>K4="Profitable"</formula>
    </cfRule>
  </conditionalFormatting>
  <pageMargins left="0.75" right="0.75" top="1" bottom="1" header="0.5" footer="0.5"/>
</worksheet>
</file>

<file path=xl/worksheets/sheet5.xml><?xml version="1.0" encoding="utf-8"?>
<worksheet xmlns="http://schemas.openxmlformats.org/spreadsheetml/2006/main">
  <sheetPr>
    <tabColor rgb="00CE93D8"/>
    <outlinePr summaryBelow="1" summaryRight="1"/>
    <pageSetUpPr/>
  </sheetPr>
  <dimension ref="A1:K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3" customWidth="1" min="4" max="4"/>
    <col width="12" customWidth="1" min="5" max="5"/>
    <col width="12" customWidth="1" min="6" max="6"/>
    <col width="14" customWidth="1" min="7" max="7"/>
    <col width="14" customWidth="1" min="8" max="8"/>
    <col width="10" customWidth="1" min="9" max="9"/>
    <col width="17" customWidth="1" min="10" max="10"/>
    <col width="13" customWidth="1" min="11" max="11"/>
  </cols>
  <sheetData>
    <row r="1" ht="28" customHeight="1">
      <c r="A1" s="29" t="inlineStr">
        <is>
          <t>YT Transcriber — Studio Tier</t>
        </is>
      </c>
    </row>
    <row r="2" ht="16" customHeight="1">
      <c r="A2" s="2" t="inlineStr">
        <is>
          <t>Sweet spot — 60 videos/mo, all features, AI chapters included     |     13 June 2026</t>
        </is>
      </c>
    </row>
    <row r="3" ht="28" customHeight="1">
      <c r="A3" s="30" t="inlineStr">
        <is>
          <t>Users</t>
        </is>
      </c>
      <c r="B3" s="30" t="inlineStr">
        <is>
          <t>Revenue (£)</t>
        </is>
      </c>
      <c r="C3" s="30" t="inlineStr">
        <is>
          <t>Fixed Costs (£)</t>
        </is>
      </c>
      <c r="D3" s="30" t="inlineStr">
        <is>
          <t>Stripe Fees (£)</t>
        </is>
      </c>
      <c r="E3" s="30" t="inlineStr">
        <is>
          <t>Variable (£)</t>
        </is>
      </c>
      <c r="F3" s="30" t="inlineStr">
        <is>
          <t>AI Costs (£)</t>
        </is>
      </c>
      <c r="G3" s="30" t="inlineStr">
        <is>
          <t>Total Costs (£)</t>
        </is>
      </c>
      <c r="H3" s="30" t="inlineStr">
        <is>
          <t>Net Profit (£)</t>
        </is>
      </c>
      <c r="I3" s="30" t="inlineStr">
        <is>
          <t>Margin (%)</t>
        </is>
      </c>
      <c r="J3" s="30" t="inlineStr">
        <is>
          <t>Annual Run Rate (£)</t>
        </is>
      </c>
      <c r="K3" s="30" t="inlineStr">
        <is>
          <t>Status</t>
        </is>
      </c>
    </row>
    <row r="4">
      <c r="A4" s="5" t="n">
        <v>1</v>
      </c>
      <c r="B4" s="6">
        <f>A4*Assumptions!$B$7</f>
        <v/>
      </c>
      <c r="C4" s="6">
        <f>Assumptions!$B$20</f>
        <v/>
      </c>
      <c r="D4" s="6">
        <f>B4*Assumptions!$B$33+A4*Assumptions!$B$34</f>
        <v/>
      </c>
      <c r="E4" s="6">
        <f>A4*Assumptions!$B$27</f>
        <v/>
      </c>
      <c r="F4" s="6">
        <f>A4*Assumptions!$B$28</f>
        <v/>
      </c>
      <c r="G4" s="6">
        <f>C4+D4+E4+F4</f>
        <v/>
      </c>
      <c r="H4" s="7">
        <f>B4-G4</f>
        <v/>
      </c>
      <c r="I4" s="8">
        <f>IF(B4&gt;0,H4/B4,0)</f>
        <v/>
      </c>
      <c r="J4" s="9">
        <f>H4*12</f>
        <v/>
      </c>
      <c r="K4" s="10">
        <f>IF(H4&lt;0,"Loss",IF(H4&lt;20,"Break-even",IF(H4&lt;500,"Growing","Profitable")))</f>
        <v/>
      </c>
    </row>
    <row r="5">
      <c r="A5" s="11" t="n">
        <v>5</v>
      </c>
      <c r="B5" s="12">
        <f>A5*Assumptions!$B$7</f>
        <v/>
      </c>
      <c r="C5" s="12">
        <f>Assumptions!$B$20</f>
        <v/>
      </c>
      <c r="D5" s="12">
        <f>B5*Assumptions!$B$33+A5*Assumptions!$B$34</f>
        <v/>
      </c>
      <c r="E5" s="12">
        <f>A5*Assumptions!$B$27</f>
        <v/>
      </c>
      <c r="F5" s="12">
        <f>A5*Assumptions!$B$28</f>
        <v/>
      </c>
      <c r="G5" s="12">
        <f>C5+D5+E5+F5</f>
        <v/>
      </c>
      <c r="H5" s="7">
        <f>B5-G5</f>
        <v/>
      </c>
      <c r="I5" s="13">
        <f>IF(B5&gt;0,H5/B5,0)</f>
        <v/>
      </c>
      <c r="J5" s="9">
        <f>H5*12</f>
        <v/>
      </c>
      <c r="K5" s="10">
        <f>IF(H5&lt;0,"Loss",IF(H5&lt;20,"Break-even",IF(H5&lt;500,"Growing","Profitable")))</f>
        <v/>
      </c>
    </row>
    <row r="6">
      <c r="A6" s="5" t="n">
        <v>10</v>
      </c>
      <c r="B6" s="6">
        <f>A6*Assumptions!$B$7</f>
        <v/>
      </c>
      <c r="C6" s="6">
        <f>Assumptions!$B$20</f>
        <v/>
      </c>
      <c r="D6" s="6">
        <f>B6*Assumptions!$B$33+A6*Assumptions!$B$34</f>
        <v/>
      </c>
      <c r="E6" s="6">
        <f>A6*Assumptions!$B$27</f>
        <v/>
      </c>
      <c r="F6" s="6">
        <f>A6*Assumptions!$B$28</f>
        <v/>
      </c>
      <c r="G6" s="6">
        <f>C6+D6+E6+F6</f>
        <v/>
      </c>
      <c r="H6" s="7">
        <f>B6-G6</f>
        <v/>
      </c>
      <c r="I6" s="8">
        <f>IF(B6&gt;0,H6/B6,0)</f>
        <v/>
      </c>
      <c r="J6" s="9">
        <f>H6*12</f>
        <v/>
      </c>
      <c r="K6" s="10">
        <f>IF(H6&lt;0,"Loss",IF(H6&lt;20,"Break-even",IF(H6&lt;500,"Growing","Profitable")))</f>
        <v/>
      </c>
    </row>
    <row r="7">
      <c r="A7" s="11" t="n">
        <v>15</v>
      </c>
      <c r="B7" s="12">
        <f>A7*Assumptions!$B$7</f>
        <v/>
      </c>
      <c r="C7" s="12">
        <f>Assumptions!$B$20</f>
        <v/>
      </c>
      <c r="D7" s="12">
        <f>B7*Assumptions!$B$33+A7*Assumptions!$B$34</f>
        <v/>
      </c>
      <c r="E7" s="12">
        <f>A7*Assumptions!$B$27</f>
        <v/>
      </c>
      <c r="F7" s="12">
        <f>A7*Assumptions!$B$28</f>
        <v/>
      </c>
      <c r="G7" s="12">
        <f>C7+D7+E7+F7</f>
        <v/>
      </c>
      <c r="H7" s="7">
        <f>B7-G7</f>
        <v/>
      </c>
      <c r="I7" s="13">
        <f>IF(B7&gt;0,H7/B7,0)</f>
        <v/>
      </c>
      <c r="J7" s="9">
        <f>H7*12</f>
        <v/>
      </c>
      <c r="K7" s="10">
        <f>IF(H7&lt;0,"Loss",IF(H7&lt;20,"Break-even",IF(H7&lt;500,"Growing","Profitable")))</f>
        <v/>
      </c>
    </row>
    <row r="8">
      <c r="A8" s="5" t="n">
        <v>20</v>
      </c>
      <c r="B8" s="6">
        <f>A8*Assumptions!$B$7</f>
        <v/>
      </c>
      <c r="C8" s="6">
        <f>Assumptions!$B$20</f>
        <v/>
      </c>
      <c r="D8" s="6">
        <f>B8*Assumptions!$B$33+A8*Assumptions!$B$34</f>
        <v/>
      </c>
      <c r="E8" s="6">
        <f>A8*Assumptions!$B$27</f>
        <v/>
      </c>
      <c r="F8" s="6">
        <f>A8*Assumptions!$B$28</f>
        <v/>
      </c>
      <c r="G8" s="6">
        <f>C8+D8+E8+F8</f>
        <v/>
      </c>
      <c r="H8" s="7">
        <f>B8-G8</f>
        <v/>
      </c>
      <c r="I8" s="8">
        <f>IF(B8&gt;0,H8/B8,0)</f>
        <v/>
      </c>
      <c r="J8" s="9">
        <f>H8*12</f>
        <v/>
      </c>
      <c r="K8" s="10">
        <f>IF(H8&lt;0,"Loss",IF(H8&lt;20,"Break-even",IF(H8&lt;500,"Growing","Profitable")))</f>
        <v/>
      </c>
    </row>
    <row r="9">
      <c r="A9" s="11" t="n">
        <v>50</v>
      </c>
      <c r="B9" s="12">
        <f>A9*Assumptions!$B$7</f>
        <v/>
      </c>
      <c r="C9" s="12">
        <f>Assumptions!$B$20</f>
        <v/>
      </c>
      <c r="D9" s="12">
        <f>B9*Assumptions!$B$33+A9*Assumptions!$B$34</f>
        <v/>
      </c>
      <c r="E9" s="12">
        <f>A9*Assumptions!$B$27</f>
        <v/>
      </c>
      <c r="F9" s="12">
        <f>A9*Assumptions!$B$28</f>
        <v/>
      </c>
      <c r="G9" s="12">
        <f>C9+D9+E9+F9</f>
        <v/>
      </c>
      <c r="H9" s="7">
        <f>B9-G9</f>
        <v/>
      </c>
      <c r="I9" s="13">
        <f>IF(B9&gt;0,H9/B9,0)</f>
        <v/>
      </c>
      <c r="J9" s="9">
        <f>H9*12</f>
        <v/>
      </c>
      <c r="K9" s="10">
        <f>IF(H9&lt;0,"Loss",IF(H9&lt;20,"Break-even",IF(H9&lt;500,"Growing","Profitable")))</f>
        <v/>
      </c>
    </row>
    <row r="10">
      <c r="A10" s="5" t="n">
        <v>100</v>
      </c>
      <c r="B10" s="6">
        <f>A10*Assumptions!$B$7</f>
        <v/>
      </c>
      <c r="C10" s="6">
        <f>Assumptions!$B$20</f>
        <v/>
      </c>
      <c r="D10" s="6">
        <f>B10*Assumptions!$B$33+A10*Assumptions!$B$34</f>
        <v/>
      </c>
      <c r="E10" s="6">
        <f>A10*Assumptions!$B$27</f>
        <v/>
      </c>
      <c r="F10" s="6">
        <f>A10*Assumptions!$B$28</f>
        <v/>
      </c>
      <c r="G10" s="6">
        <f>C10+D10+E10+F10</f>
        <v/>
      </c>
      <c r="H10" s="7">
        <f>B10-G10</f>
        <v/>
      </c>
      <c r="I10" s="8">
        <f>IF(B10&gt;0,H10/B10,0)</f>
        <v/>
      </c>
      <c r="J10" s="9">
        <f>H10*12</f>
        <v/>
      </c>
      <c r="K10" s="10">
        <f>IF(H10&lt;0,"Loss",IF(H10&lt;20,"Break-even",IF(H10&lt;500,"Growing","Profitable")))</f>
        <v/>
      </c>
    </row>
    <row r="11">
      <c r="A11" s="11" t="n">
        <v>200</v>
      </c>
      <c r="B11" s="12">
        <f>A11*Assumptions!$B$7</f>
        <v/>
      </c>
      <c r="C11" s="12">
        <f>Assumptions!$B$20</f>
        <v/>
      </c>
      <c r="D11" s="12">
        <f>B11*Assumptions!$B$33+A11*Assumptions!$B$34</f>
        <v/>
      </c>
      <c r="E11" s="12">
        <f>A11*Assumptions!$B$27</f>
        <v/>
      </c>
      <c r="F11" s="12">
        <f>A11*Assumptions!$B$28</f>
        <v/>
      </c>
      <c r="G11" s="12">
        <f>C11+D11+E11+F11</f>
        <v/>
      </c>
      <c r="H11" s="7">
        <f>B11-G11</f>
        <v/>
      </c>
      <c r="I11" s="13">
        <f>IF(B11&gt;0,H11/B11,0)</f>
        <v/>
      </c>
      <c r="J11" s="9">
        <f>H11*12</f>
        <v/>
      </c>
      <c r="K11" s="10">
        <f>IF(H11&lt;0,"Loss",IF(H11&lt;20,"Break-even",IF(H11&lt;500,"Growing","Profitable")))</f>
        <v/>
      </c>
    </row>
    <row r="12">
      <c r="A12" s="5" t="n">
        <v>500</v>
      </c>
      <c r="B12" s="6">
        <f>A12*Assumptions!$B$7</f>
        <v/>
      </c>
      <c r="C12" s="6">
        <f>Assumptions!$B$20</f>
        <v/>
      </c>
      <c r="D12" s="6">
        <f>B12*Assumptions!$B$33+A12*Assumptions!$B$34</f>
        <v/>
      </c>
      <c r="E12" s="6">
        <f>A12*Assumptions!$B$27</f>
        <v/>
      </c>
      <c r="F12" s="6">
        <f>A12*Assumptions!$B$28</f>
        <v/>
      </c>
      <c r="G12" s="6">
        <f>C12+D12+E12+F12</f>
        <v/>
      </c>
      <c r="H12" s="7">
        <f>B12-G12</f>
        <v/>
      </c>
      <c r="I12" s="8">
        <f>IF(B12&gt;0,H12/B12,0)</f>
        <v/>
      </c>
      <c r="J12" s="9">
        <f>H12*12</f>
        <v/>
      </c>
      <c r="K12" s="10">
        <f>IF(H12&lt;0,"Loss",IF(H12&lt;20,"Break-even",IF(H12&lt;500,"Growing","Profitable")))</f>
        <v/>
      </c>
    </row>
    <row r="13">
      <c r="A13" s="11" t="n">
        <v>1000</v>
      </c>
      <c r="B13" s="12">
        <f>A13*Assumptions!$B$7</f>
        <v/>
      </c>
      <c r="C13" s="12">
        <f>Assumptions!$B$20</f>
        <v/>
      </c>
      <c r="D13" s="12">
        <f>B13*Assumptions!$B$33+A13*Assumptions!$B$34</f>
        <v/>
      </c>
      <c r="E13" s="12">
        <f>A13*Assumptions!$B$27</f>
        <v/>
      </c>
      <c r="F13" s="12">
        <f>A13*Assumptions!$B$28</f>
        <v/>
      </c>
      <c r="G13" s="12">
        <f>C13+D13+E13+F13</f>
        <v/>
      </c>
      <c r="H13" s="7">
        <f>B13-G13</f>
        <v/>
      </c>
      <c r="I13" s="13">
        <f>IF(B13&gt;0,H13/B13,0)</f>
        <v/>
      </c>
      <c r="J13" s="9">
        <f>H13*12</f>
        <v/>
      </c>
      <c r="K13" s="10">
        <f>IF(H13&lt;0,"Loss",IF(H13&lt;20,"Break-even",IF(H13&lt;500,"Growing","Profitable")))</f>
        <v/>
      </c>
    </row>
    <row r="14">
      <c r="A14" s="5" t="n">
        <v>2000</v>
      </c>
      <c r="B14" s="6">
        <f>A14*Assumptions!$B$7</f>
        <v/>
      </c>
      <c r="C14" s="6">
        <f>Assumptions!$B$20</f>
        <v/>
      </c>
      <c r="D14" s="6">
        <f>B14*Assumptions!$B$33+A14*Assumptions!$B$34</f>
        <v/>
      </c>
      <c r="E14" s="6">
        <f>A14*Assumptions!$B$27</f>
        <v/>
      </c>
      <c r="F14" s="6">
        <f>A14*Assumptions!$B$28</f>
        <v/>
      </c>
      <c r="G14" s="6">
        <f>C14+D14+E14+F14</f>
        <v/>
      </c>
      <c r="H14" s="7">
        <f>B14-G14</f>
        <v/>
      </c>
      <c r="I14" s="8">
        <f>IF(B14&gt;0,H14/B14,0)</f>
        <v/>
      </c>
      <c r="J14" s="9">
        <f>H14*12</f>
        <v/>
      </c>
      <c r="K14" s="10">
        <f>IF(H14&lt;0,"Loss",IF(H14&lt;20,"Break-even",IF(H14&lt;500,"Growing","Profitable")))</f>
        <v/>
      </c>
    </row>
    <row r="15">
      <c r="A15" s="11" t="n">
        <v>5000</v>
      </c>
      <c r="B15" s="12">
        <f>A15*Assumptions!$B$7</f>
        <v/>
      </c>
      <c r="C15" s="12">
        <f>Assumptions!$B$20</f>
        <v/>
      </c>
      <c r="D15" s="12">
        <f>B15*Assumptions!$B$33+A15*Assumptions!$B$34</f>
        <v/>
      </c>
      <c r="E15" s="12">
        <f>A15*Assumptions!$B$27</f>
        <v/>
      </c>
      <c r="F15" s="12">
        <f>A15*Assumptions!$B$28</f>
        <v/>
      </c>
      <c r="G15" s="12">
        <f>C15+D15+E15+F15</f>
        <v/>
      </c>
      <c r="H15" s="7">
        <f>B15-G15</f>
        <v/>
      </c>
      <c r="I15" s="13">
        <f>IF(B15&gt;0,H15/B15,0)</f>
        <v/>
      </c>
      <c r="J15" s="9">
        <f>H15*12</f>
        <v/>
      </c>
      <c r="K15" s="10">
        <f>IF(H15&lt;0,"Loss",IF(H15&lt;20,"Break-even",IF(H15&lt;500,"Growing","Profitable")))</f>
        <v/>
      </c>
    </row>
    <row r="17" ht="32" customHeight="1">
      <c r="A17" s="14" t="inlineStr">
        <is>
          <t>All values driven by Assumptions sheet. Edit yellow input cells there and this sheet updates automatically. Fixed costs are shared infrastructure costs that apply regardless of how many users are on this tier.</t>
        </is>
      </c>
    </row>
  </sheetData>
  <mergeCells count="3">
    <mergeCell ref="A2:K2"/>
    <mergeCell ref="A1:K1"/>
    <mergeCell ref="A17:K17"/>
  </mergeCells>
  <conditionalFormatting sqref="H4:H15">
    <cfRule type="cellIs" priority="1" operator="lessThan" dxfId="0">
      <formula>0</formula>
    </cfRule>
    <cfRule type="cellIs" priority="2" operator="greaterThanOrEqual" dxfId="1">
      <formula>0</formula>
    </cfRule>
  </conditionalFormatting>
  <conditionalFormatting sqref="J4:J15">
    <cfRule type="cellIs" priority="3" operator="lessThan" dxfId="0">
      <formula>0</formula>
    </cfRule>
    <cfRule type="cellIs" priority="4" operator="greaterThanOrEqual" dxfId="1">
      <formula>0</formula>
    </cfRule>
  </conditionalFormatting>
  <conditionalFormatting sqref="I4:I15">
    <cfRule type="cellIs" priority="5" operator="lessThan" dxfId="0">
      <formula>0</formula>
    </cfRule>
    <cfRule type="cellIs" priority="6" operator="between" dxfId="2">
      <formula>0</formula>
      <formula>0.2</formula>
    </cfRule>
    <cfRule type="cellIs" priority="7" operator="greaterThanOrEqual" dxfId="1">
      <formula>0.2</formula>
    </cfRule>
  </conditionalFormatting>
  <conditionalFormatting sqref="K4:K15">
    <cfRule type="expression" priority="8" dxfId="0">
      <formula>K4="Loss"</formula>
    </cfRule>
    <cfRule type="expression" priority="9" dxfId="2">
      <formula>K4="Break-even"</formula>
    </cfRule>
    <cfRule type="expression" priority="10" dxfId="1">
      <formula>K4="Growing"</formula>
    </cfRule>
    <cfRule type="expression" priority="11" dxfId="1">
      <formula>K4="Profitable"</formula>
    </cfRule>
  </conditionalFormatting>
  <pageMargins left="0.75" right="0.75" top="1" bottom="1" header="0.5" footer="0.5"/>
</worksheet>
</file>

<file path=xl/worksheets/sheet6.xml><?xml version="1.0" encoding="utf-8"?>
<worksheet xmlns="http://schemas.openxmlformats.org/spreadsheetml/2006/main">
  <sheetPr>
    <tabColor rgb="00FFCC02"/>
    <outlinePr summaryBelow="1" summaryRight="1"/>
    <pageSetUpPr/>
  </sheetPr>
  <dimension ref="A1:K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3" customWidth="1" min="4" max="4"/>
    <col width="12" customWidth="1" min="5" max="5"/>
    <col width="12" customWidth="1" min="6" max="6"/>
    <col width="14" customWidth="1" min="7" max="7"/>
    <col width="14" customWidth="1" min="8" max="8"/>
    <col width="10" customWidth="1" min="9" max="9"/>
    <col width="17" customWidth="1" min="10" max="10"/>
    <col width="13" customWidth="1" min="11" max="11"/>
  </cols>
  <sheetData>
    <row r="1" ht="28" customHeight="1">
      <c r="A1" s="29" t="inlineStr">
        <is>
          <t>YT Transcriber — Enterprise Tier</t>
        </is>
      </c>
    </row>
    <row r="2" ht="16" customHeight="1">
      <c r="A2" s="2" t="inlineStr">
        <is>
          <t>Power tier — Unlimited videos, team workspace, priority processing     |     13 June 2026</t>
        </is>
      </c>
    </row>
    <row r="3" ht="28" customHeight="1">
      <c r="A3" s="30" t="inlineStr">
        <is>
          <t>Users</t>
        </is>
      </c>
      <c r="B3" s="30" t="inlineStr">
        <is>
          <t>Revenue (£)</t>
        </is>
      </c>
      <c r="C3" s="30" t="inlineStr">
        <is>
          <t>Fixed Costs (£)</t>
        </is>
      </c>
      <c r="D3" s="30" t="inlineStr">
        <is>
          <t>Stripe Fees (£)</t>
        </is>
      </c>
      <c r="E3" s="30" t="inlineStr">
        <is>
          <t>Variable (£)</t>
        </is>
      </c>
      <c r="F3" s="30" t="inlineStr">
        <is>
          <t>AI Costs (£)</t>
        </is>
      </c>
      <c r="G3" s="30" t="inlineStr">
        <is>
          <t>Total Costs (£)</t>
        </is>
      </c>
      <c r="H3" s="30" t="inlineStr">
        <is>
          <t>Net Profit (£)</t>
        </is>
      </c>
      <c r="I3" s="30" t="inlineStr">
        <is>
          <t>Margin (%)</t>
        </is>
      </c>
      <c r="J3" s="30" t="inlineStr">
        <is>
          <t>Annual Run Rate (£)</t>
        </is>
      </c>
      <c r="K3" s="30" t="inlineStr">
        <is>
          <t>Status</t>
        </is>
      </c>
    </row>
    <row r="4">
      <c r="A4" s="5" t="n">
        <v>1</v>
      </c>
      <c r="B4" s="6">
        <f>A4*Assumptions!$B$8</f>
        <v/>
      </c>
      <c r="C4" s="6">
        <f>Assumptions!$B$20</f>
        <v/>
      </c>
      <c r="D4" s="6">
        <f>B4*Assumptions!$B$33+A4*Assumptions!$B$34</f>
        <v/>
      </c>
      <c r="E4" s="6">
        <f>A4*Assumptions!$B$29</f>
        <v/>
      </c>
      <c r="F4" s="6">
        <f>A4*Assumptions!$B$30</f>
        <v/>
      </c>
      <c r="G4" s="6">
        <f>C4+D4+E4+F4</f>
        <v/>
      </c>
      <c r="H4" s="7">
        <f>B4-G4</f>
        <v/>
      </c>
      <c r="I4" s="8">
        <f>IF(B4&gt;0,H4/B4,0)</f>
        <v/>
      </c>
      <c r="J4" s="9">
        <f>H4*12</f>
        <v/>
      </c>
      <c r="K4" s="10">
        <f>IF(H4&lt;0,"Loss",IF(H4&lt;20,"Break-even",IF(H4&lt;500,"Growing","Profitable")))</f>
        <v/>
      </c>
    </row>
    <row r="5">
      <c r="A5" s="11" t="n">
        <v>5</v>
      </c>
      <c r="B5" s="12">
        <f>A5*Assumptions!$B$8</f>
        <v/>
      </c>
      <c r="C5" s="12">
        <f>Assumptions!$B$20</f>
        <v/>
      </c>
      <c r="D5" s="12">
        <f>B5*Assumptions!$B$33+A5*Assumptions!$B$34</f>
        <v/>
      </c>
      <c r="E5" s="12">
        <f>A5*Assumptions!$B$29</f>
        <v/>
      </c>
      <c r="F5" s="12">
        <f>A5*Assumptions!$B$30</f>
        <v/>
      </c>
      <c r="G5" s="12">
        <f>C5+D5+E5+F5</f>
        <v/>
      </c>
      <c r="H5" s="7">
        <f>B5-G5</f>
        <v/>
      </c>
      <c r="I5" s="13">
        <f>IF(B5&gt;0,H5/B5,0)</f>
        <v/>
      </c>
      <c r="J5" s="9">
        <f>H5*12</f>
        <v/>
      </c>
      <c r="K5" s="10">
        <f>IF(H5&lt;0,"Loss",IF(H5&lt;20,"Break-even",IF(H5&lt;500,"Growing","Profitable")))</f>
        <v/>
      </c>
    </row>
    <row r="6">
      <c r="A6" s="5" t="n">
        <v>10</v>
      </c>
      <c r="B6" s="6">
        <f>A6*Assumptions!$B$8</f>
        <v/>
      </c>
      <c r="C6" s="6">
        <f>Assumptions!$B$20</f>
        <v/>
      </c>
      <c r="D6" s="6">
        <f>B6*Assumptions!$B$33+A6*Assumptions!$B$34</f>
        <v/>
      </c>
      <c r="E6" s="6">
        <f>A6*Assumptions!$B$29</f>
        <v/>
      </c>
      <c r="F6" s="6">
        <f>A6*Assumptions!$B$30</f>
        <v/>
      </c>
      <c r="G6" s="6">
        <f>C6+D6+E6+F6</f>
        <v/>
      </c>
      <c r="H6" s="7">
        <f>B6-G6</f>
        <v/>
      </c>
      <c r="I6" s="8">
        <f>IF(B6&gt;0,H6/B6,0)</f>
        <v/>
      </c>
      <c r="J6" s="9">
        <f>H6*12</f>
        <v/>
      </c>
      <c r="K6" s="10">
        <f>IF(H6&lt;0,"Loss",IF(H6&lt;20,"Break-even",IF(H6&lt;500,"Growing","Profitable")))</f>
        <v/>
      </c>
    </row>
    <row r="7">
      <c r="A7" s="11" t="n">
        <v>15</v>
      </c>
      <c r="B7" s="12">
        <f>A7*Assumptions!$B$8</f>
        <v/>
      </c>
      <c r="C7" s="12">
        <f>Assumptions!$B$20</f>
        <v/>
      </c>
      <c r="D7" s="12">
        <f>B7*Assumptions!$B$33+A7*Assumptions!$B$34</f>
        <v/>
      </c>
      <c r="E7" s="12">
        <f>A7*Assumptions!$B$29</f>
        <v/>
      </c>
      <c r="F7" s="12">
        <f>A7*Assumptions!$B$30</f>
        <v/>
      </c>
      <c r="G7" s="12">
        <f>C7+D7+E7+F7</f>
        <v/>
      </c>
      <c r="H7" s="7">
        <f>B7-G7</f>
        <v/>
      </c>
      <c r="I7" s="13">
        <f>IF(B7&gt;0,H7/B7,0)</f>
        <v/>
      </c>
      <c r="J7" s="9">
        <f>H7*12</f>
        <v/>
      </c>
      <c r="K7" s="10">
        <f>IF(H7&lt;0,"Loss",IF(H7&lt;20,"Break-even",IF(H7&lt;500,"Growing","Profitable")))</f>
        <v/>
      </c>
    </row>
    <row r="8">
      <c r="A8" s="5" t="n">
        <v>20</v>
      </c>
      <c r="B8" s="6">
        <f>A8*Assumptions!$B$8</f>
        <v/>
      </c>
      <c r="C8" s="6">
        <f>Assumptions!$B$20</f>
        <v/>
      </c>
      <c r="D8" s="6">
        <f>B8*Assumptions!$B$33+A8*Assumptions!$B$34</f>
        <v/>
      </c>
      <c r="E8" s="6">
        <f>A8*Assumptions!$B$29</f>
        <v/>
      </c>
      <c r="F8" s="6">
        <f>A8*Assumptions!$B$30</f>
        <v/>
      </c>
      <c r="G8" s="6">
        <f>C8+D8+E8+F8</f>
        <v/>
      </c>
      <c r="H8" s="7">
        <f>B8-G8</f>
        <v/>
      </c>
      <c r="I8" s="8">
        <f>IF(B8&gt;0,H8/B8,0)</f>
        <v/>
      </c>
      <c r="J8" s="9">
        <f>H8*12</f>
        <v/>
      </c>
      <c r="K8" s="10">
        <f>IF(H8&lt;0,"Loss",IF(H8&lt;20,"Break-even",IF(H8&lt;500,"Growing","Profitable")))</f>
        <v/>
      </c>
    </row>
    <row r="9">
      <c r="A9" s="11" t="n">
        <v>50</v>
      </c>
      <c r="B9" s="12">
        <f>A9*Assumptions!$B$8</f>
        <v/>
      </c>
      <c r="C9" s="12">
        <f>Assumptions!$B$20</f>
        <v/>
      </c>
      <c r="D9" s="12">
        <f>B9*Assumptions!$B$33+A9*Assumptions!$B$34</f>
        <v/>
      </c>
      <c r="E9" s="12">
        <f>A9*Assumptions!$B$29</f>
        <v/>
      </c>
      <c r="F9" s="12">
        <f>A9*Assumptions!$B$30</f>
        <v/>
      </c>
      <c r="G9" s="12">
        <f>C9+D9+E9+F9</f>
        <v/>
      </c>
      <c r="H9" s="7">
        <f>B9-G9</f>
        <v/>
      </c>
      <c r="I9" s="13">
        <f>IF(B9&gt;0,H9/B9,0)</f>
        <v/>
      </c>
      <c r="J9" s="9">
        <f>H9*12</f>
        <v/>
      </c>
      <c r="K9" s="10">
        <f>IF(H9&lt;0,"Loss",IF(H9&lt;20,"Break-even",IF(H9&lt;500,"Growing","Profitable")))</f>
        <v/>
      </c>
    </row>
    <row r="10">
      <c r="A10" s="5" t="n">
        <v>100</v>
      </c>
      <c r="B10" s="6">
        <f>A10*Assumptions!$B$8</f>
        <v/>
      </c>
      <c r="C10" s="6">
        <f>Assumptions!$B$20</f>
        <v/>
      </c>
      <c r="D10" s="6">
        <f>B10*Assumptions!$B$33+A10*Assumptions!$B$34</f>
        <v/>
      </c>
      <c r="E10" s="6">
        <f>A10*Assumptions!$B$29</f>
        <v/>
      </c>
      <c r="F10" s="6">
        <f>A10*Assumptions!$B$30</f>
        <v/>
      </c>
      <c r="G10" s="6">
        <f>C10+D10+E10+F10</f>
        <v/>
      </c>
      <c r="H10" s="7">
        <f>B10-G10</f>
        <v/>
      </c>
      <c r="I10" s="8">
        <f>IF(B10&gt;0,H10/B10,0)</f>
        <v/>
      </c>
      <c r="J10" s="9">
        <f>H10*12</f>
        <v/>
      </c>
      <c r="K10" s="10">
        <f>IF(H10&lt;0,"Loss",IF(H10&lt;20,"Break-even",IF(H10&lt;500,"Growing","Profitable")))</f>
        <v/>
      </c>
    </row>
    <row r="11">
      <c r="A11" s="11" t="n">
        <v>200</v>
      </c>
      <c r="B11" s="12">
        <f>A11*Assumptions!$B$8</f>
        <v/>
      </c>
      <c r="C11" s="12">
        <f>Assumptions!$B$20</f>
        <v/>
      </c>
      <c r="D11" s="12">
        <f>B11*Assumptions!$B$33+A11*Assumptions!$B$34</f>
        <v/>
      </c>
      <c r="E11" s="12">
        <f>A11*Assumptions!$B$29</f>
        <v/>
      </c>
      <c r="F11" s="12">
        <f>A11*Assumptions!$B$30</f>
        <v/>
      </c>
      <c r="G11" s="12">
        <f>C11+D11+E11+F11</f>
        <v/>
      </c>
      <c r="H11" s="7">
        <f>B11-G11</f>
        <v/>
      </c>
      <c r="I11" s="13">
        <f>IF(B11&gt;0,H11/B11,0)</f>
        <v/>
      </c>
      <c r="J11" s="9">
        <f>H11*12</f>
        <v/>
      </c>
      <c r="K11" s="10">
        <f>IF(H11&lt;0,"Loss",IF(H11&lt;20,"Break-even",IF(H11&lt;500,"Growing","Profitable")))</f>
        <v/>
      </c>
    </row>
    <row r="12">
      <c r="A12" s="5" t="n">
        <v>500</v>
      </c>
      <c r="B12" s="6">
        <f>A12*Assumptions!$B$8</f>
        <v/>
      </c>
      <c r="C12" s="6">
        <f>Assumptions!$B$20</f>
        <v/>
      </c>
      <c r="D12" s="6">
        <f>B12*Assumptions!$B$33+A12*Assumptions!$B$34</f>
        <v/>
      </c>
      <c r="E12" s="6">
        <f>A12*Assumptions!$B$29</f>
        <v/>
      </c>
      <c r="F12" s="6">
        <f>A12*Assumptions!$B$30</f>
        <v/>
      </c>
      <c r="G12" s="6">
        <f>C12+D12+E12+F12</f>
        <v/>
      </c>
      <c r="H12" s="7">
        <f>B12-G12</f>
        <v/>
      </c>
      <c r="I12" s="8">
        <f>IF(B12&gt;0,H12/B12,0)</f>
        <v/>
      </c>
      <c r="J12" s="9">
        <f>H12*12</f>
        <v/>
      </c>
      <c r="K12" s="10">
        <f>IF(H12&lt;0,"Loss",IF(H12&lt;20,"Break-even",IF(H12&lt;500,"Growing","Profitable")))</f>
        <v/>
      </c>
    </row>
    <row r="13">
      <c r="A13" s="11" t="n">
        <v>1000</v>
      </c>
      <c r="B13" s="12">
        <f>A13*Assumptions!$B$8</f>
        <v/>
      </c>
      <c r="C13" s="12">
        <f>Assumptions!$B$20</f>
        <v/>
      </c>
      <c r="D13" s="12">
        <f>B13*Assumptions!$B$33+A13*Assumptions!$B$34</f>
        <v/>
      </c>
      <c r="E13" s="12">
        <f>A13*Assumptions!$B$29</f>
        <v/>
      </c>
      <c r="F13" s="12">
        <f>A13*Assumptions!$B$30</f>
        <v/>
      </c>
      <c r="G13" s="12">
        <f>C13+D13+E13+F13</f>
        <v/>
      </c>
      <c r="H13" s="7">
        <f>B13-G13</f>
        <v/>
      </c>
      <c r="I13" s="13">
        <f>IF(B13&gt;0,H13/B13,0)</f>
        <v/>
      </c>
      <c r="J13" s="9">
        <f>H13*12</f>
        <v/>
      </c>
      <c r="K13" s="10">
        <f>IF(H13&lt;0,"Loss",IF(H13&lt;20,"Break-even",IF(H13&lt;500,"Growing","Profitable")))</f>
        <v/>
      </c>
    </row>
    <row r="14">
      <c r="A14" s="5" t="n">
        <v>2000</v>
      </c>
      <c r="B14" s="6">
        <f>A14*Assumptions!$B$8</f>
        <v/>
      </c>
      <c r="C14" s="6">
        <f>Assumptions!$B$20</f>
        <v/>
      </c>
      <c r="D14" s="6">
        <f>B14*Assumptions!$B$33+A14*Assumptions!$B$34</f>
        <v/>
      </c>
      <c r="E14" s="6">
        <f>A14*Assumptions!$B$29</f>
        <v/>
      </c>
      <c r="F14" s="6">
        <f>A14*Assumptions!$B$30</f>
        <v/>
      </c>
      <c r="G14" s="6">
        <f>C14+D14+E14+F14</f>
        <v/>
      </c>
      <c r="H14" s="7">
        <f>B14-G14</f>
        <v/>
      </c>
      <c r="I14" s="8">
        <f>IF(B14&gt;0,H14/B14,0)</f>
        <v/>
      </c>
      <c r="J14" s="9">
        <f>H14*12</f>
        <v/>
      </c>
      <c r="K14" s="10">
        <f>IF(H14&lt;0,"Loss",IF(H14&lt;20,"Break-even",IF(H14&lt;500,"Growing","Profitable")))</f>
        <v/>
      </c>
    </row>
    <row r="15">
      <c r="A15" s="11" t="n">
        <v>5000</v>
      </c>
      <c r="B15" s="12">
        <f>A15*Assumptions!$B$8</f>
        <v/>
      </c>
      <c r="C15" s="12">
        <f>Assumptions!$B$20</f>
        <v/>
      </c>
      <c r="D15" s="12">
        <f>B15*Assumptions!$B$33+A15*Assumptions!$B$34</f>
        <v/>
      </c>
      <c r="E15" s="12">
        <f>A15*Assumptions!$B$29</f>
        <v/>
      </c>
      <c r="F15" s="12">
        <f>A15*Assumptions!$B$30</f>
        <v/>
      </c>
      <c r="G15" s="12">
        <f>C15+D15+E15+F15</f>
        <v/>
      </c>
      <c r="H15" s="7">
        <f>B15-G15</f>
        <v/>
      </c>
      <c r="I15" s="13">
        <f>IF(B15&gt;0,H15/B15,0)</f>
        <v/>
      </c>
      <c r="J15" s="9">
        <f>H15*12</f>
        <v/>
      </c>
      <c r="K15" s="10">
        <f>IF(H15&lt;0,"Loss",IF(H15&lt;20,"Break-even",IF(H15&lt;500,"Growing","Profitable")))</f>
        <v/>
      </c>
    </row>
    <row r="17" ht="32" customHeight="1">
      <c r="A17" s="14" t="inlineStr">
        <is>
          <t>All values driven by Assumptions sheet. Edit yellow input cells there and this sheet updates automatically. Fixed costs are shared infrastructure costs that apply regardless of how many users are on this tier.</t>
        </is>
      </c>
    </row>
  </sheetData>
  <mergeCells count="3">
    <mergeCell ref="A2:K2"/>
    <mergeCell ref="A1:K1"/>
    <mergeCell ref="A17:K17"/>
  </mergeCells>
  <conditionalFormatting sqref="H4:H15">
    <cfRule type="cellIs" priority="1" operator="lessThan" dxfId="0">
      <formula>0</formula>
    </cfRule>
    <cfRule type="cellIs" priority="2" operator="greaterThanOrEqual" dxfId="1">
      <formula>0</formula>
    </cfRule>
  </conditionalFormatting>
  <conditionalFormatting sqref="J4:J15">
    <cfRule type="cellIs" priority="3" operator="lessThan" dxfId="0">
      <formula>0</formula>
    </cfRule>
    <cfRule type="cellIs" priority="4" operator="greaterThanOrEqual" dxfId="1">
      <formula>0</formula>
    </cfRule>
  </conditionalFormatting>
  <conditionalFormatting sqref="I4:I15">
    <cfRule type="cellIs" priority="5" operator="lessThan" dxfId="0">
      <formula>0</formula>
    </cfRule>
    <cfRule type="cellIs" priority="6" operator="between" dxfId="2">
      <formula>0</formula>
      <formula>0.2</formula>
    </cfRule>
    <cfRule type="cellIs" priority="7" operator="greaterThanOrEqual" dxfId="1">
      <formula>0.2</formula>
    </cfRule>
  </conditionalFormatting>
  <conditionalFormatting sqref="K4:K15">
    <cfRule type="expression" priority="8" dxfId="0">
      <formula>K4="Loss"</formula>
    </cfRule>
    <cfRule type="expression" priority="9" dxfId="2">
      <formula>K4="Break-even"</formula>
    </cfRule>
    <cfRule type="expression" priority="10" dxfId="1">
      <formula>K4="Growing"</formula>
    </cfRule>
    <cfRule type="expression" priority="11" dxfId="1">
      <formula>K4="Profitable"</formula>
    </cfRule>
  </conditionalFormatting>
  <pageMargins left="0.75" right="0.75" top="1" bottom="1" header="0.5" footer="0.5"/>
</worksheet>
</file>

<file path=xl/worksheets/sheet7.xml><?xml version="1.0" encoding="utf-8"?>
<worksheet xmlns="http://schemas.openxmlformats.org/spreadsheetml/2006/main">
  <sheetPr>
    <tabColor rgb="00E53935"/>
    <outlinePr summaryBelow="1" summaryRight="1"/>
    <pageSetUpPr/>
  </sheetPr>
  <dimension ref="A1:K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3" customWidth="1" min="4" max="4"/>
    <col width="12" customWidth="1" min="5" max="5"/>
    <col width="12" customWidth="1" min="6" max="6"/>
    <col width="14" customWidth="1" min="7" max="7"/>
    <col width="14" customWidth="1" min="8" max="8"/>
    <col width="10" customWidth="1" min="9" max="9"/>
    <col width="17" customWidth="1" min="10" max="10"/>
    <col width="13" customWidth="1" min="11" max="11"/>
  </cols>
  <sheetData>
    <row r="1" ht="28" customHeight="1">
      <c r="A1" s="29" t="inlineStr">
        <is>
          <t>YT Transcriber — Blended Mix</t>
        </is>
      </c>
    </row>
    <row r="2" ht="16" customHeight="1">
      <c r="A2" s="2" t="inlineStr">
        <is>
          <t>Paying users only — 20% Creator / 55% Studio / 25% Enterprise — adjust mix in Assumptions     |     13 June 2026</t>
        </is>
      </c>
    </row>
    <row r="3" ht="28" customHeight="1">
      <c r="A3" s="30" t="inlineStr">
        <is>
          <t>Users</t>
        </is>
      </c>
      <c r="B3" s="30" t="inlineStr">
        <is>
          <t>Revenue (£)</t>
        </is>
      </c>
      <c r="C3" s="30" t="inlineStr">
        <is>
          <t>Fixed Costs (£)</t>
        </is>
      </c>
      <c r="D3" s="30" t="inlineStr">
        <is>
          <t>Stripe Fees (£)</t>
        </is>
      </c>
      <c r="E3" s="30" t="inlineStr">
        <is>
          <t>Variable (£)</t>
        </is>
      </c>
      <c r="F3" s="30" t="inlineStr">
        <is>
          <t>AI Costs (£)</t>
        </is>
      </c>
      <c r="G3" s="30" t="inlineStr">
        <is>
          <t>Total Costs (£)</t>
        </is>
      </c>
      <c r="H3" s="30" t="inlineStr">
        <is>
          <t>Net Profit (£)</t>
        </is>
      </c>
      <c r="I3" s="30" t="inlineStr">
        <is>
          <t>Margin (%)</t>
        </is>
      </c>
      <c r="J3" s="30" t="inlineStr">
        <is>
          <t>Annual Run Rate (£)</t>
        </is>
      </c>
      <c r="K3" s="30" t="inlineStr">
        <is>
          <t>Status</t>
        </is>
      </c>
    </row>
    <row r="4">
      <c r="A4" s="5" t="n">
        <v>1</v>
      </c>
      <c r="B4" s="6">
        <f>A4*Assumptions!$B$14</f>
        <v/>
      </c>
      <c r="C4" s="6">
        <f>Assumptions!$B$20</f>
        <v/>
      </c>
      <c r="D4" s="6">
        <f>B4*Assumptions!$B$33+A4*Assumptions!$B$34</f>
        <v/>
      </c>
      <c r="E4" s="6">
        <f>A4*Assumptions!$B$40</f>
        <v/>
      </c>
      <c r="F4" s="6">
        <f>A4*Assumptions!$B$41</f>
        <v/>
      </c>
      <c r="G4" s="6">
        <f>C4+D4+E4+F4</f>
        <v/>
      </c>
      <c r="H4" s="7">
        <f>B4-G4</f>
        <v/>
      </c>
      <c r="I4" s="8">
        <f>IF(B4&gt;0,H4/B4,0)</f>
        <v/>
      </c>
      <c r="J4" s="9">
        <f>H4*12</f>
        <v/>
      </c>
      <c r="K4" s="10">
        <f>IF(H4&lt;0,"Loss",IF(H4&lt;20,"Break-even",IF(H4&lt;500,"Growing","Profitable")))</f>
        <v/>
      </c>
    </row>
    <row r="5">
      <c r="A5" s="11" t="n">
        <v>5</v>
      </c>
      <c r="B5" s="12">
        <f>A5*Assumptions!$B$14</f>
        <v/>
      </c>
      <c r="C5" s="12">
        <f>Assumptions!$B$20</f>
        <v/>
      </c>
      <c r="D5" s="12">
        <f>B5*Assumptions!$B$33+A5*Assumptions!$B$34</f>
        <v/>
      </c>
      <c r="E5" s="12">
        <f>A5*Assumptions!$B$40</f>
        <v/>
      </c>
      <c r="F5" s="12">
        <f>A5*Assumptions!$B$41</f>
        <v/>
      </c>
      <c r="G5" s="12">
        <f>C5+D5+E5+F5</f>
        <v/>
      </c>
      <c r="H5" s="7">
        <f>B5-G5</f>
        <v/>
      </c>
      <c r="I5" s="13">
        <f>IF(B5&gt;0,H5/B5,0)</f>
        <v/>
      </c>
      <c r="J5" s="9">
        <f>H5*12</f>
        <v/>
      </c>
      <c r="K5" s="10">
        <f>IF(H5&lt;0,"Loss",IF(H5&lt;20,"Break-even",IF(H5&lt;500,"Growing","Profitable")))</f>
        <v/>
      </c>
    </row>
    <row r="6">
      <c r="A6" s="5" t="n">
        <v>10</v>
      </c>
      <c r="B6" s="6">
        <f>A6*Assumptions!$B$14</f>
        <v/>
      </c>
      <c r="C6" s="6">
        <f>Assumptions!$B$20</f>
        <v/>
      </c>
      <c r="D6" s="6">
        <f>B6*Assumptions!$B$33+A6*Assumptions!$B$34</f>
        <v/>
      </c>
      <c r="E6" s="6">
        <f>A6*Assumptions!$B$40</f>
        <v/>
      </c>
      <c r="F6" s="6">
        <f>A6*Assumptions!$B$41</f>
        <v/>
      </c>
      <c r="G6" s="6">
        <f>C6+D6+E6+F6</f>
        <v/>
      </c>
      <c r="H6" s="7">
        <f>B6-G6</f>
        <v/>
      </c>
      <c r="I6" s="8">
        <f>IF(B6&gt;0,H6/B6,0)</f>
        <v/>
      </c>
      <c r="J6" s="9">
        <f>H6*12</f>
        <v/>
      </c>
      <c r="K6" s="10">
        <f>IF(H6&lt;0,"Loss",IF(H6&lt;20,"Break-even",IF(H6&lt;500,"Growing","Profitable")))</f>
        <v/>
      </c>
    </row>
    <row r="7">
      <c r="A7" s="11" t="n">
        <v>15</v>
      </c>
      <c r="B7" s="12">
        <f>A7*Assumptions!$B$14</f>
        <v/>
      </c>
      <c r="C7" s="12">
        <f>Assumptions!$B$20</f>
        <v/>
      </c>
      <c r="D7" s="12">
        <f>B7*Assumptions!$B$33+A7*Assumptions!$B$34</f>
        <v/>
      </c>
      <c r="E7" s="12">
        <f>A7*Assumptions!$B$40</f>
        <v/>
      </c>
      <c r="F7" s="12">
        <f>A7*Assumptions!$B$41</f>
        <v/>
      </c>
      <c r="G7" s="12">
        <f>C7+D7+E7+F7</f>
        <v/>
      </c>
      <c r="H7" s="7">
        <f>B7-G7</f>
        <v/>
      </c>
      <c r="I7" s="13">
        <f>IF(B7&gt;0,H7/B7,0)</f>
        <v/>
      </c>
      <c r="J7" s="9">
        <f>H7*12</f>
        <v/>
      </c>
      <c r="K7" s="10">
        <f>IF(H7&lt;0,"Loss",IF(H7&lt;20,"Break-even",IF(H7&lt;500,"Growing","Profitable")))</f>
        <v/>
      </c>
    </row>
    <row r="8">
      <c r="A8" s="5" t="n">
        <v>20</v>
      </c>
      <c r="B8" s="6">
        <f>A8*Assumptions!$B$14</f>
        <v/>
      </c>
      <c r="C8" s="6">
        <f>Assumptions!$B$20</f>
        <v/>
      </c>
      <c r="D8" s="6">
        <f>B8*Assumptions!$B$33+A8*Assumptions!$B$34</f>
        <v/>
      </c>
      <c r="E8" s="6">
        <f>A8*Assumptions!$B$40</f>
        <v/>
      </c>
      <c r="F8" s="6">
        <f>A8*Assumptions!$B$41</f>
        <v/>
      </c>
      <c r="G8" s="6">
        <f>C8+D8+E8+F8</f>
        <v/>
      </c>
      <c r="H8" s="7">
        <f>B8-G8</f>
        <v/>
      </c>
      <c r="I8" s="8">
        <f>IF(B8&gt;0,H8/B8,0)</f>
        <v/>
      </c>
      <c r="J8" s="9">
        <f>H8*12</f>
        <v/>
      </c>
      <c r="K8" s="10">
        <f>IF(H8&lt;0,"Loss",IF(H8&lt;20,"Break-even",IF(H8&lt;500,"Growing","Profitable")))</f>
        <v/>
      </c>
    </row>
    <row r="9">
      <c r="A9" s="11" t="n">
        <v>50</v>
      </c>
      <c r="B9" s="12">
        <f>A9*Assumptions!$B$14</f>
        <v/>
      </c>
      <c r="C9" s="12">
        <f>Assumptions!$B$20</f>
        <v/>
      </c>
      <c r="D9" s="12">
        <f>B9*Assumptions!$B$33+A9*Assumptions!$B$34</f>
        <v/>
      </c>
      <c r="E9" s="12">
        <f>A9*Assumptions!$B$40</f>
        <v/>
      </c>
      <c r="F9" s="12">
        <f>A9*Assumptions!$B$41</f>
        <v/>
      </c>
      <c r="G9" s="12">
        <f>C9+D9+E9+F9</f>
        <v/>
      </c>
      <c r="H9" s="7">
        <f>B9-G9</f>
        <v/>
      </c>
      <c r="I9" s="13">
        <f>IF(B9&gt;0,H9/B9,0)</f>
        <v/>
      </c>
      <c r="J9" s="9">
        <f>H9*12</f>
        <v/>
      </c>
      <c r="K9" s="10">
        <f>IF(H9&lt;0,"Loss",IF(H9&lt;20,"Break-even",IF(H9&lt;500,"Growing","Profitable")))</f>
        <v/>
      </c>
    </row>
    <row r="10">
      <c r="A10" s="5" t="n">
        <v>100</v>
      </c>
      <c r="B10" s="6">
        <f>A10*Assumptions!$B$14</f>
        <v/>
      </c>
      <c r="C10" s="6">
        <f>Assumptions!$B$20</f>
        <v/>
      </c>
      <c r="D10" s="6">
        <f>B10*Assumptions!$B$33+A10*Assumptions!$B$34</f>
        <v/>
      </c>
      <c r="E10" s="6">
        <f>A10*Assumptions!$B$40</f>
        <v/>
      </c>
      <c r="F10" s="6">
        <f>A10*Assumptions!$B$41</f>
        <v/>
      </c>
      <c r="G10" s="6">
        <f>C10+D10+E10+F10</f>
        <v/>
      </c>
      <c r="H10" s="7">
        <f>B10-G10</f>
        <v/>
      </c>
      <c r="I10" s="8">
        <f>IF(B10&gt;0,H10/B10,0)</f>
        <v/>
      </c>
      <c r="J10" s="9">
        <f>H10*12</f>
        <v/>
      </c>
      <c r="K10" s="10">
        <f>IF(H10&lt;0,"Loss",IF(H10&lt;20,"Break-even",IF(H10&lt;500,"Growing","Profitable")))</f>
        <v/>
      </c>
    </row>
    <row r="11">
      <c r="A11" s="11" t="n">
        <v>200</v>
      </c>
      <c r="B11" s="12">
        <f>A11*Assumptions!$B$14</f>
        <v/>
      </c>
      <c r="C11" s="12">
        <f>Assumptions!$B$20</f>
        <v/>
      </c>
      <c r="D11" s="12">
        <f>B11*Assumptions!$B$33+A11*Assumptions!$B$34</f>
        <v/>
      </c>
      <c r="E11" s="12">
        <f>A11*Assumptions!$B$40</f>
        <v/>
      </c>
      <c r="F11" s="12">
        <f>A11*Assumptions!$B$41</f>
        <v/>
      </c>
      <c r="G11" s="12">
        <f>C11+D11+E11+F11</f>
        <v/>
      </c>
      <c r="H11" s="7">
        <f>B11-G11</f>
        <v/>
      </c>
      <c r="I11" s="13">
        <f>IF(B11&gt;0,H11/B11,0)</f>
        <v/>
      </c>
      <c r="J11" s="9">
        <f>H11*12</f>
        <v/>
      </c>
      <c r="K11" s="10">
        <f>IF(H11&lt;0,"Loss",IF(H11&lt;20,"Break-even",IF(H11&lt;500,"Growing","Profitable")))</f>
        <v/>
      </c>
    </row>
    <row r="12">
      <c r="A12" s="5" t="n">
        <v>500</v>
      </c>
      <c r="B12" s="6">
        <f>A12*Assumptions!$B$14</f>
        <v/>
      </c>
      <c r="C12" s="6">
        <f>Assumptions!$B$20</f>
        <v/>
      </c>
      <c r="D12" s="6">
        <f>B12*Assumptions!$B$33+A12*Assumptions!$B$34</f>
        <v/>
      </c>
      <c r="E12" s="6">
        <f>A12*Assumptions!$B$40</f>
        <v/>
      </c>
      <c r="F12" s="6">
        <f>A12*Assumptions!$B$41</f>
        <v/>
      </c>
      <c r="G12" s="6">
        <f>C12+D12+E12+F12</f>
        <v/>
      </c>
      <c r="H12" s="7">
        <f>B12-G12</f>
        <v/>
      </c>
      <c r="I12" s="8">
        <f>IF(B12&gt;0,H12/B12,0)</f>
        <v/>
      </c>
      <c r="J12" s="9">
        <f>H12*12</f>
        <v/>
      </c>
      <c r="K12" s="10">
        <f>IF(H12&lt;0,"Loss",IF(H12&lt;20,"Break-even",IF(H12&lt;500,"Growing","Profitable")))</f>
        <v/>
      </c>
    </row>
    <row r="13">
      <c r="A13" s="11" t="n">
        <v>1000</v>
      </c>
      <c r="B13" s="12">
        <f>A13*Assumptions!$B$14</f>
        <v/>
      </c>
      <c r="C13" s="12">
        <f>Assumptions!$B$20</f>
        <v/>
      </c>
      <c r="D13" s="12">
        <f>B13*Assumptions!$B$33+A13*Assumptions!$B$34</f>
        <v/>
      </c>
      <c r="E13" s="12">
        <f>A13*Assumptions!$B$40</f>
        <v/>
      </c>
      <c r="F13" s="12">
        <f>A13*Assumptions!$B$41</f>
        <v/>
      </c>
      <c r="G13" s="12">
        <f>C13+D13+E13+F13</f>
        <v/>
      </c>
      <c r="H13" s="7">
        <f>B13-G13</f>
        <v/>
      </c>
      <c r="I13" s="13">
        <f>IF(B13&gt;0,H13/B13,0)</f>
        <v/>
      </c>
      <c r="J13" s="9">
        <f>H13*12</f>
        <v/>
      </c>
      <c r="K13" s="10">
        <f>IF(H13&lt;0,"Loss",IF(H13&lt;20,"Break-even",IF(H13&lt;500,"Growing","Profitable")))</f>
        <v/>
      </c>
    </row>
    <row r="14">
      <c r="A14" s="5" t="n">
        <v>2000</v>
      </c>
      <c r="B14" s="6">
        <f>A14*Assumptions!$B$14</f>
        <v/>
      </c>
      <c r="C14" s="6">
        <f>Assumptions!$B$20</f>
        <v/>
      </c>
      <c r="D14" s="6">
        <f>B14*Assumptions!$B$33+A14*Assumptions!$B$34</f>
        <v/>
      </c>
      <c r="E14" s="6">
        <f>A14*Assumptions!$B$40</f>
        <v/>
      </c>
      <c r="F14" s="6">
        <f>A14*Assumptions!$B$41</f>
        <v/>
      </c>
      <c r="G14" s="6">
        <f>C14+D14+E14+F14</f>
        <v/>
      </c>
      <c r="H14" s="7">
        <f>B14-G14</f>
        <v/>
      </c>
      <c r="I14" s="8">
        <f>IF(B14&gt;0,H14/B14,0)</f>
        <v/>
      </c>
      <c r="J14" s="9">
        <f>H14*12</f>
        <v/>
      </c>
      <c r="K14" s="10">
        <f>IF(H14&lt;0,"Loss",IF(H14&lt;20,"Break-even",IF(H14&lt;500,"Growing","Profitable")))</f>
        <v/>
      </c>
    </row>
    <row r="15">
      <c r="A15" s="11" t="n">
        <v>5000</v>
      </c>
      <c r="B15" s="12">
        <f>A15*Assumptions!$B$14</f>
        <v/>
      </c>
      <c r="C15" s="12">
        <f>Assumptions!$B$20</f>
        <v/>
      </c>
      <c r="D15" s="12">
        <f>B15*Assumptions!$B$33+A15*Assumptions!$B$34</f>
        <v/>
      </c>
      <c r="E15" s="12">
        <f>A15*Assumptions!$B$40</f>
        <v/>
      </c>
      <c r="F15" s="12">
        <f>A15*Assumptions!$B$41</f>
        <v/>
      </c>
      <c r="G15" s="12">
        <f>C15+D15+E15+F15</f>
        <v/>
      </c>
      <c r="H15" s="7">
        <f>B15-G15</f>
        <v/>
      </c>
      <c r="I15" s="13">
        <f>IF(B15&gt;0,H15/B15,0)</f>
        <v/>
      </c>
      <c r="J15" s="9">
        <f>H15*12</f>
        <v/>
      </c>
      <c r="K15" s="10">
        <f>IF(H15&lt;0,"Loss",IF(H15&lt;20,"Break-even",IF(H15&lt;500,"Growing","Profitable")))</f>
        <v/>
      </c>
    </row>
    <row r="17" ht="32" customHeight="1">
      <c r="A17" s="14" t="inlineStr">
        <is>
          <t>All values driven by Assumptions sheet. Edit yellow input cells there and this sheet updates automatically. Fixed costs are shared infrastructure costs that apply regardless of how many users are on this tier.</t>
        </is>
      </c>
    </row>
  </sheetData>
  <mergeCells count="3">
    <mergeCell ref="A2:K2"/>
    <mergeCell ref="A1:K1"/>
    <mergeCell ref="A17:K17"/>
  </mergeCells>
  <conditionalFormatting sqref="H4:H15">
    <cfRule type="cellIs" priority="1" operator="lessThan" dxfId="0">
      <formula>0</formula>
    </cfRule>
    <cfRule type="cellIs" priority="2" operator="greaterThanOrEqual" dxfId="1">
      <formula>0</formula>
    </cfRule>
  </conditionalFormatting>
  <conditionalFormatting sqref="J4:J15">
    <cfRule type="cellIs" priority="3" operator="lessThan" dxfId="0">
      <formula>0</formula>
    </cfRule>
    <cfRule type="cellIs" priority="4" operator="greaterThanOrEqual" dxfId="1">
      <formula>0</formula>
    </cfRule>
  </conditionalFormatting>
  <conditionalFormatting sqref="I4:I15">
    <cfRule type="cellIs" priority="5" operator="lessThan" dxfId="0">
      <formula>0</formula>
    </cfRule>
    <cfRule type="cellIs" priority="6" operator="between" dxfId="2">
      <formula>0</formula>
      <formula>0.2</formula>
    </cfRule>
    <cfRule type="cellIs" priority="7" operator="greaterThanOrEqual" dxfId="1">
      <formula>0.2</formula>
    </cfRule>
  </conditionalFormatting>
  <conditionalFormatting sqref="K4:K15">
    <cfRule type="expression" priority="8" dxfId="0">
      <formula>K4="Loss"</formula>
    </cfRule>
    <cfRule type="expression" priority="9" dxfId="2">
      <formula>K4="Break-even"</formula>
    </cfRule>
    <cfRule type="expression" priority="10" dxfId="1">
      <formula>K4="Growing"</formula>
    </cfRule>
    <cfRule type="expression" priority="11" dxfId="1">
      <formula>K4="Profitable"</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2026-06-13T12:32:13Z</dcterms:created>
  <dcterms:modified xmlns:dcterms="http://purl.org/dc/terms/" xmlns:xsi="http://www.w3.org/2001/XMLSchema-instance" xsi:type="dcterms:W3CDTF">2026-06-13T12:32:14Z</dcterms:modified>
</cp:coreProperties>
</file>